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cristinagonzalez/Documents/OCTAVO_SEMESTRE/QA/"/>
    </mc:Choice>
  </mc:AlternateContent>
  <xr:revisionPtr revIDLastSave="0" documentId="13_ncr:1_{B75281C8-D378-0140-9679-4BB0F14AB014}" xr6:coauthVersionLast="47" xr6:coauthVersionMax="47" xr10:uidLastSave="{00000000-0000-0000-0000-000000000000}"/>
  <bookViews>
    <workbookView xWindow="36000" yWindow="5080" windowWidth="32000" windowHeight="17500" activeTab="1" xr2:uid="{00000000-000D-0000-FFFF-FFFF00000000}"/>
  </bookViews>
  <sheets>
    <sheet name="Portada" sheetId="1" r:id="rId1"/>
    <sheet name="Identificación Casos" sheetId="2" r:id="rId2"/>
    <sheet name="Control" sheetId="3" r:id="rId3"/>
    <sheet name="Datos del plan"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CpB5YEgTHgGz3iJhlqK7c4JcbZxQNA5npY9yydyY1bg="/>
    </ext>
  </extLst>
</workbook>
</file>

<file path=xl/calcChain.xml><?xml version="1.0" encoding="utf-8"?>
<calcChain xmlns="http://schemas.openxmlformats.org/spreadsheetml/2006/main">
  <c r="D13" i="3" l="1"/>
  <c r="D6" i="3"/>
  <c r="D8" i="3"/>
  <c r="G21" i="3"/>
  <c r="G23" i="3"/>
  <c r="G22" i="3"/>
  <c r="D10" i="3"/>
  <c r="D9" i="3"/>
  <c r="D7" i="3"/>
  <c r="G26" i="3" l="1"/>
  <c r="D16" i="3"/>
</calcChain>
</file>

<file path=xl/sharedStrings.xml><?xml version="1.0" encoding="utf-8"?>
<sst xmlns="http://schemas.openxmlformats.org/spreadsheetml/2006/main" count="721" uniqueCount="408">
  <si>
    <t>Funcional</t>
  </si>
  <si>
    <t>ID</t>
  </si>
  <si>
    <t>OK</t>
  </si>
  <si>
    <t>ID JIRA</t>
  </si>
  <si>
    <t>Baja</t>
  </si>
  <si>
    <t>Sprint</t>
  </si>
  <si>
    <t>Pre-condicion</t>
  </si>
  <si>
    <t>Nombre de la prueba</t>
  </si>
  <si>
    <t>SI</t>
  </si>
  <si>
    <t>Tipo</t>
  </si>
  <si>
    <t>Paso a Paso</t>
  </si>
  <si>
    <t>Resultado esperado</t>
  </si>
  <si>
    <t>Resultado obtenido</t>
  </si>
  <si>
    <t>Cristina González</t>
  </si>
  <si>
    <t>Dato de prueba</t>
  </si>
  <si>
    <t>Modulo a probar</t>
  </si>
  <si>
    <t>No Funcional</t>
  </si>
  <si>
    <t>NOK</t>
  </si>
  <si>
    <t>Media</t>
  </si>
  <si>
    <t>Resultado</t>
  </si>
  <si>
    <t>NO</t>
  </si>
  <si>
    <t>Nicolas Herreras</t>
  </si>
  <si>
    <t>Candidato a automatizar</t>
  </si>
  <si>
    <t>No ejecutado</t>
  </si>
  <si>
    <t>Observación</t>
  </si>
  <si>
    <t>Alta</t>
  </si>
  <si>
    <t>Willioxer Paz</t>
  </si>
  <si>
    <t>Responsable ejecución</t>
  </si>
  <si>
    <t>Código</t>
  </si>
  <si>
    <t>Bloqueado</t>
  </si>
  <si>
    <t>Complejidad</t>
  </si>
  <si>
    <t>End to End</t>
  </si>
  <si>
    <t>Obsoleto</t>
  </si>
  <si>
    <t>Stress</t>
  </si>
  <si>
    <t>Rendimiento</t>
  </si>
  <si>
    <t>Carga</t>
  </si>
  <si>
    <t>Usuario no autenticado con acceso al registro</t>
  </si>
  <si>
    <t>1. Click en Acceder al registro.
2. Completar los campos obligatorios. 
   a. Nombre
   b. Apellidos
   c. Correo electrónico
   d. Teléfono móvil
   e. Contraseña
   f. Repetir contraseña
3. Aceptar términos y condiciones. 
4. Click en Registrarme.</t>
  </si>
  <si>
    <t>El sistema deberá crear la cuenta correctamente e informa que el registro fue exitoso.</t>
  </si>
  <si>
    <t>a. Cristina
b. González González
c. crisa.gonzalezg@duocuc.cl
d. 9 634 68 715
e. C0ntr4s3ñ4
f. C0ntr4s3ñ4</t>
  </si>
  <si>
    <t>Usuario y Autentificación</t>
  </si>
  <si>
    <r>
      <rPr>
        <sz val="11"/>
        <color theme="1"/>
        <rFont val="Calibri"/>
        <family val="2"/>
      </rPr>
      <t xml:space="preserve">1. Click en Acceder al registro.
2. Completar los campos obligatorios. 
   a. Nombre
   b. </t>
    </r>
    <r>
      <rPr>
        <b/>
        <sz val="11"/>
        <color theme="1"/>
        <rFont val="Calibri"/>
        <family val="2"/>
      </rPr>
      <t>Apellidos</t>
    </r>
    <r>
      <rPr>
        <sz val="11"/>
        <color theme="1"/>
        <rFont val="Calibri"/>
        <family val="2"/>
      </rPr>
      <t xml:space="preserve">
   c. Correo electrónico
   d. </t>
    </r>
    <r>
      <rPr>
        <b/>
        <sz val="11"/>
        <color theme="1"/>
        <rFont val="Calibri"/>
        <family val="2"/>
      </rPr>
      <t>Teléfono móvil</t>
    </r>
    <r>
      <rPr>
        <sz val="11"/>
        <color theme="1"/>
        <rFont val="Calibri"/>
        <family val="2"/>
      </rPr>
      <t xml:space="preserve">
   e. Contraseña
   f. Repetir contraseña
3. Aceptar términos y condiciones. 
4. Click en Registrarme.</t>
    </r>
  </si>
  <si>
    <t>El sistema debera impidir el registro e identifica que existen campos obligatorios sin completar.</t>
  </si>
  <si>
    <t>a. Cristina
b. 
c. crisa.gonzalezg@duocuc.cl
d. 
e. C0ntr4s3ñ4
f. C0ntr4s3ñ4</t>
  </si>
  <si>
    <t>Existe previamente una cuenta con el mismo correo</t>
  </si>
  <si>
    <r>
      <rPr>
        <sz val="11"/>
        <color theme="1"/>
        <rFont val="Calibri"/>
        <family val="2"/>
      </rPr>
      <t xml:space="preserve">1. Click en Acceder al registro. 
2. Completar los campos obligatorios. 
   a. Nombre
   b. Apellidos
  </t>
    </r>
    <r>
      <rPr>
        <b/>
        <sz val="11"/>
        <color theme="1"/>
        <rFont val="Calibri"/>
        <family val="2"/>
      </rPr>
      <t xml:space="preserve"> c. Ingresar Correo electrónico Existente</t>
    </r>
    <r>
      <rPr>
        <sz val="11"/>
        <color theme="1"/>
        <rFont val="Calibri"/>
        <family val="2"/>
      </rPr>
      <t xml:space="preserve">
   d. Teléfono móvil
   e. Contraseña
   f. Repetir contraseña
3. Aceptar términos y condiciones. 
4. Click en Registrarme.</t>
    </r>
  </si>
  <si>
    <r>
      <rPr>
        <sz val="11"/>
        <color theme="1"/>
        <rFont val="Calibri"/>
        <family val="2"/>
      </rPr>
      <t xml:space="preserve">a. Cristina
b. González González
</t>
    </r>
    <r>
      <rPr>
        <b/>
        <sz val="11"/>
        <color theme="1"/>
        <rFont val="Calibri"/>
        <family val="2"/>
      </rPr>
      <t>c. crisa.gonzalezg@duocuc.cl</t>
    </r>
    <r>
      <rPr>
        <sz val="11"/>
        <color theme="1"/>
        <rFont val="Calibri"/>
        <family val="2"/>
      </rPr>
      <t xml:space="preserve">
d. 9 634 68 715
e. C0ntr4s3ñ4
f. C0ntr4s3ñ4</t>
    </r>
  </si>
  <si>
    <r>
      <rPr>
        <sz val="11"/>
        <color theme="1"/>
        <rFont val="Calibri"/>
        <family val="2"/>
      </rPr>
      <t xml:space="preserve">1. Click en Acceder al registro. 
2. Completar los campos obligatorios. 
   a. Nombre
   b. Apellidos
  </t>
    </r>
    <r>
      <rPr>
        <b/>
        <sz val="11"/>
        <color theme="1"/>
        <rFont val="Calibri"/>
        <family val="2"/>
      </rPr>
      <t xml:space="preserve"> c. Ingresar Correo electrónico Invalido</t>
    </r>
    <r>
      <rPr>
        <sz val="11"/>
        <color theme="1"/>
        <rFont val="Calibri"/>
        <family val="2"/>
      </rPr>
      <t xml:space="preserve">
   d. Teléfono móvil
   e. Contraseña
   f. Repetir contraseña
3. Aceptar términos y condiciones. 
4. Click en Registrarme.</t>
    </r>
  </si>
  <si>
    <t>El sistema rechaza el correo con formato inválido e impide completar el registro.</t>
  </si>
  <si>
    <r>
      <rPr>
        <sz val="11"/>
        <color theme="1"/>
        <rFont val="Calibri"/>
        <family val="2"/>
      </rPr>
      <t xml:space="preserve">a. Cristina
b. González González
</t>
    </r>
    <r>
      <rPr>
        <b/>
        <sz val="11"/>
        <color theme="1"/>
        <rFont val="Calibri"/>
        <family val="2"/>
      </rPr>
      <t>c. crisa.gonzalezgduocuc.c</t>
    </r>
    <r>
      <rPr>
        <sz val="11"/>
        <color theme="1"/>
        <rFont val="Calibri"/>
        <family val="2"/>
      </rPr>
      <t xml:space="preserve">
d. 9 634 68 715
e. C0ntr4s3ñ4
f. C0ntr4s3ñ4</t>
    </r>
  </si>
  <si>
    <r>
      <rPr>
        <sz val="11"/>
        <color theme="1"/>
        <rFont val="Calibri"/>
        <family val="2"/>
      </rPr>
      <t xml:space="preserve">1. Click en Acceder al registro. 
2. Completar los campos obligatorios. 
   a. Nombre
   b. Apellidos
  </t>
    </r>
    <r>
      <rPr>
        <b/>
        <sz val="11"/>
        <color theme="1"/>
        <rFont val="Calibri"/>
        <family val="2"/>
      </rPr>
      <t xml:space="preserve"> c.</t>
    </r>
    <r>
      <rPr>
        <sz val="11"/>
        <color theme="1"/>
        <rFont val="Calibri"/>
        <family val="2"/>
      </rPr>
      <t xml:space="preserve"> Ingresar Correo electrónico Invalido
   d. Teléfono móvil
   e. Contraseña
   f. </t>
    </r>
    <r>
      <rPr>
        <b/>
        <sz val="11"/>
        <color theme="1"/>
        <rFont val="Calibri"/>
        <family val="2"/>
      </rPr>
      <t>Repetir contraseña</t>
    </r>
    <r>
      <rPr>
        <sz val="11"/>
        <color theme="1"/>
        <rFont val="Calibri"/>
        <family val="2"/>
      </rPr>
      <t xml:space="preserve">
3. Aceptar términos y condiciones. 
4. Click en Registrarme.</t>
    </r>
  </si>
  <si>
    <t>El sistema impide el registro cuando las contraseñas no coinciden.</t>
  </si>
  <si>
    <r>
      <rPr>
        <sz val="11"/>
        <color theme="1"/>
        <rFont val="Calibri"/>
        <family val="2"/>
      </rPr>
      <t xml:space="preserve">a. Cristina
b. González González
c. crisa.gonzalezg@duocuc.cl
d. 9 634 68 715
e. C0ntr4s3ñ4
f. </t>
    </r>
    <r>
      <rPr>
        <b/>
        <sz val="11"/>
        <color theme="1"/>
        <rFont val="Calibri"/>
        <family val="2"/>
      </rPr>
      <t>C0ntr4s3</t>
    </r>
  </si>
  <si>
    <t>Validar aceptación de términos y condiciones</t>
  </si>
  <si>
    <r>
      <rPr>
        <sz val="11"/>
        <color theme="1"/>
        <rFont val="Calibri"/>
        <family val="2"/>
      </rPr>
      <t xml:space="preserve">1. Click en Acceder al registro. 
2. Completar los campos obligatorios. 
   a. Nombre
   b. Apellidos
  </t>
    </r>
    <r>
      <rPr>
        <b/>
        <sz val="11"/>
        <color theme="1"/>
        <rFont val="Calibri"/>
        <family val="2"/>
      </rPr>
      <t xml:space="preserve"> c.</t>
    </r>
    <r>
      <rPr>
        <sz val="11"/>
        <color theme="1"/>
        <rFont val="Calibri"/>
        <family val="2"/>
      </rPr>
      <t xml:space="preserve"> Ingresar Correo electrónico Invalido
   d. Teléfono móvil
   e. Contraseña
   f. Repetir contraseña
3. </t>
    </r>
    <r>
      <rPr>
        <b/>
        <sz val="11"/>
        <color theme="1"/>
        <rFont val="Calibri"/>
        <family val="2"/>
      </rPr>
      <t xml:space="preserve">NO Aceptar términos y condiciones. </t>
    </r>
    <r>
      <rPr>
        <sz val="11"/>
        <color theme="1"/>
        <rFont val="Calibri"/>
        <family val="2"/>
      </rPr>
      <t xml:space="preserve">
4. Click en Registrarme.</t>
    </r>
  </si>
  <si>
    <t>El sistema impide completar el registro sin aceptar los términos y condiciones.</t>
  </si>
  <si>
    <t>Usuario registrado y cuenta habilitada</t>
  </si>
  <si>
    <t>Casos</t>
  </si>
  <si>
    <t>Total de casos</t>
  </si>
  <si>
    <t>% de  avance</t>
  </si>
  <si>
    <t>Total casos que ejecuto cada integrante del equipo</t>
  </si>
  <si>
    <t>Total Casos</t>
  </si>
  <si>
    <t>Iniciar sesión con credenciales válidas</t>
  </si>
  <si>
    <t>1. Acceder a la pantalla de inicio de sesión.
2. Ingresar correo electrónico registrado. 
3. Ingresar contraseña correcta.
 4. Click en Iniciar sesión.</t>
  </si>
  <si>
    <t>El sistema autentica correctamente al usuario y permite acceder a la aplicación.</t>
  </si>
  <si>
    <r>
      <t>a. Cristina
b. González González
c. crisa.gonzalezg@duocuc.cl
d. 9 634 68 715
e. C0ntr4s3ñ4
f. C0ntr4s3ñ4</t>
    </r>
    <r>
      <rPr>
        <b/>
        <sz val="11"/>
        <color theme="1"/>
        <rFont val="Calibri"/>
        <family val="2"/>
      </rPr>
      <t xml:space="preserve">
No Aceptar los terminos y Condiciones.</t>
    </r>
  </si>
  <si>
    <t xml:space="preserve"> crisa.gonzalezg@duocuc.cl
 C0ntr4s3ñ4
</t>
  </si>
  <si>
    <t>Usuario registrado</t>
  </si>
  <si>
    <t>Acceso a la pantalla de inicio de sesión</t>
  </si>
  <si>
    <t>Rechazar inicio de sesión con contraseña incorrecta</t>
  </si>
  <si>
    <t>Rechazar inicio de sesión con usuario no registrado</t>
  </si>
  <si>
    <t>1. Acceder a la pantalla de inicio de sesión. 
2. Ingresar correo registrado.
3. Ingresar contraseña incorrecta.
 4. Click en Iniciar sesión.</t>
  </si>
  <si>
    <t>El sistema impide el acceso y muestra el mensaje correspondiente.</t>
  </si>
  <si>
    <t>1. Acceder a la opción de cierre de sesión.
 2. Click en Cerrar sesión.</t>
  </si>
  <si>
    <t>1. Acceder a la pantalla de inicio de sesión. 
2. Ingresar correo no registrado. 
3. Ingresar contraseña. 
4. Click en Iniciar sesión.</t>
  </si>
  <si>
    <t>El sistema impide el acceso con una cuenta inexistente.</t>
  </si>
  <si>
    <t xml:space="preserve"> crisa.gonzalezg@duocuc.cl
 C0ntr4s3</t>
  </si>
  <si>
    <t xml:space="preserve"> crisa.gon@duocuc.cl
 C0ntr4s3ñ4</t>
  </si>
  <si>
    <t>Usuario autenticado dentro de la aplicación</t>
  </si>
  <si>
    <t>Usuario ha cerrado su sesión</t>
  </si>
  <si>
    <t>Cerrar sesión correctamente</t>
  </si>
  <si>
    <t>Impedir acceso a contenido protegido después de cerrar sesión</t>
  </si>
  <si>
    <t>1. Cerrar sesión. 
2. Intentar regresar a una sección protegida utilizando el navegador o una URL utilizada anteriormente.</t>
  </si>
  <si>
    <t>Funcional/Seguridad</t>
  </si>
  <si>
    <t>El sistema finaliza correctamente la sesión del usuario y lo deja fuera del área autenticada.</t>
  </si>
  <si>
    <t>El sistema impide acceder al contenido protegido y solicita nuevamente autenticación.</t>
  </si>
  <si>
    <t>Usuario autenticado.</t>
  </si>
  <si>
    <t>Usuario con sesión cerrada.</t>
  </si>
  <si>
    <t>Existe una cuenta registrada con el correo ingresado</t>
  </si>
  <si>
    <t>Solicitar recuperación de contraseña con correo registrado</t>
  </si>
  <si>
    <t>1. Acceder a la opción de recuperación de contraseña.
2. Ingresar un correo registrado. 
3. Solicitar la recuperación.</t>
  </si>
  <si>
    <t>Correo registrado. (crisa.gonzalezg@duocuc.cl)</t>
  </si>
  <si>
    <t>Proceso válido de recuperación iniciado</t>
  </si>
  <si>
    <t>Restablecer contraseña correctamente</t>
  </si>
  <si>
    <t>1. Acceder al mecanismo de recuperación.
 2. Ingresar la nueva contraseña. 
3. Repetir la nueva contraseña, si corresponde. 
4. Confirmar el cambio. 
5. Intentar iniciar sesión con la nueva contraseña.</t>
  </si>
  <si>
    <t>El sistema actualiza la contraseña y permite posteriormente iniciar sesión utilizando la nueva credencial.</t>
  </si>
  <si>
    <t>Completar según el mecanismo real implementado.</t>
  </si>
  <si>
    <t>Usuario autenticado</t>
  </si>
  <si>
    <t>Modificar correctamente los datos permitidos del perfil</t>
  </si>
  <si>
    <t>Rechazar datos inválidos al modificar el perfil</t>
  </si>
  <si>
    <t>Cambiar contraseña correctamente</t>
  </si>
  <si>
    <t>1. Acceder al perfil del usuario.
2. Modificar uno o más datos permitidos. 
3. Guardar los cambios. 
4. Volver a consultar el perfil.</t>
  </si>
  <si>
    <t>1. Acceder a la opción de cambio de contraseña. 
2. Completar los campos solicitados. 
3. Ingresar una nueva contraseña válida. 
4. Confirmar el cambio. 
5. Cerrar sesión. 
6. Iniciar sesión utilizando la nueva contraseña.</t>
  </si>
  <si>
    <t>El sistema guarda correctamente los cambios y muestra los datos actualizados.</t>
  </si>
  <si>
    <t>El sistema actualiza correctamente la contraseña y permite acceder posteriormente con la nueva credencial.</t>
  </si>
  <si>
    <t>Datos válidos.</t>
  </si>
  <si>
    <t>Contraseña actual y nueva contraseña válidas.</t>
  </si>
  <si>
    <t>Criterio de Aceptación</t>
  </si>
  <si>
    <t>Los campos obligatorios no deben quedar vacíos y el sistema debe informar cuál debe completarse.</t>
  </si>
  <si>
    <t>Validar formato de correo electrónico</t>
  </si>
  <si>
    <t>Validar coincidencia de contraseñas</t>
  </si>
  <si>
    <t>Un usuario registrado y habilitado debe poder ingresar al sistema utilizando credenciales válidas.</t>
  </si>
  <si>
    <t>El usuario debe poder solicitar la recuperación de contraseña mediante el correo asociado a su cuenta y recibir un enlace para continuar el proceso.</t>
  </si>
  <si>
    <t xml:space="preserve"> El sistema registra correctamente al usuario cuando todos los datos ingresados son válidos.</t>
  </si>
  <si>
    <t>El sistema impidió continuar con el registro y mostró mensajes de validación para campos obligatorios incompletos, entre ellos “Los apellidos son requeridos.” y “El teléfono es requerido.”</t>
  </si>
  <si>
    <t>El usuario inició sesión correctamente con credenciales válidas y accedió a la interfaz principal de RutiMed.</t>
  </si>
  <si>
    <t>El sistema impidió iniciar sesión con correo correcto y contraseña erronea y mostro el siguiente error "Correo o contraseña incorrectos."</t>
  </si>
  <si>
    <t>Se comprobó que la opción Cerrar sesión se encuentra disponible en el menú del usuario autenticado. Al presionar el Cerrar Sesión vuelve a la pagina de login</t>
  </si>
  <si>
    <t>Todo usuario autenticado debe disponer de la opción Cerrar sesión y poder finalizar su sesión cuando lo requiera.</t>
  </si>
  <si>
    <t>El sistema debe impedir el acceso cuando el usuario ingresa un correo electrónico registrado y una contraseña incorrecta, mostrando un mensaje de error sin indicar cuál de las credenciales es incorrecta.</t>
  </si>
  <si>
    <t>El sistema procesó correctamente la solicitud de recuperación, mostró el mensaje “Correo de recuperación enviado con éxito” y se recibió un correo con un enlace para restablecer la contraseña.</t>
  </si>
  <si>
    <t>El sistema procesa correctamente la solicitud de recuperación de contraseña donde mostrara un mensaje de "Correo de recuperación enviado con éxito" y llegara el enlace al correo registrado.</t>
  </si>
  <si>
    <t>El usuario debe poder restablecer su contraseña mediante un enlace válido de recuperación, ingresando una nueva contraseña y su confirmación. Luego del cambio, debe poder iniciar sesión correctamente con la nueva contraseña.</t>
  </si>
  <si>
    <t>El sistema permitió acceder al formulario de restablecimiento de contraseña mediante el enlace recibido por correo, guardar una nueva contraseña y posteriormente iniciar sesión correctamente con esa nueva contraseña.</t>
  </si>
  <si>
    <t>En una ejecución anterior se presentó un error de conexión con el servidor. Luego de restablecer la conexión/servicio, se repitió la prueba y el registro se completó correctamente.
Los campos obligatorios no estan indicados con (*)</t>
  </si>
  <si>
    <t>El usuario debe poder enviar el formulario cuando completa los campos obligatorios (deberán estar indicado con (*) ) con datos válidos, las contraseñas coinciden debe tener minimo 6 caracteres y acepta los Términos y Condiciones.</t>
  </si>
  <si>
    <t>El usuario autenticado debe poder modificar los datos habilitados en la sección Mi Perfil y guardar correctamente los cambios realizados.</t>
  </si>
  <si>
    <t>Se comprobó que la sección Mi Perfil permite visualizar y editar los campos Nombre Completo, Correo Electrónico y Celular, y dispone del botón Guardar Cambios.</t>
  </si>
  <si>
    <t>En el formulario de registro el teléfono es obligatorio, mientras que en la pantalla Mi Perfil aparece como “Celular (Opcional)”. Se recomienda revisar esta inconsistencia en la definición funcional.</t>
  </si>
  <si>
    <t>El usuario autenticado debe poder cambiar su contraseña desde la sección Mi Perfil, ingresando correctamente la contraseña actual, una nueva contraseña válida y la confirmación de la nueva contraseña.</t>
  </si>
  <si>
    <t>El sistema permitió realizar el cambio de contraseña desde Mi Perfil y mostró el mensaje “Contraseña cambiada exitosamente”.</t>
  </si>
  <si>
    <t>Rechazar correo ya registrado</t>
  </si>
  <si>
    <t xml:space="preserve">
Validar campos obligatorios</t>
  </si>
  <si>
    <t xml:space="preserve">
Registrar usuario con datos válidos</t>
  </si>
  <si>
    <t>El sistema debe impedir la creación de una nueva cuenta cuando el correo electrónico ingresado ya se encuentra registrado.</t>
  </si>
  <si>
    <t>El sistema no debe permitir crear una nueva cuenta cuando el correo electrónico ingresado ya se encuentra registrado.</t>
  </si>
  <si>
    <t>El sistema impidió registrar nuevamente una cuenta con un correo ya existente y mostró el mensaje “A user with this email address has already been registered”.</t>
  </si>
  <si>
    <t>La validación funciona correctamente; sin embargo, el mensaje se muestra en inglés mientras el resto de la interfaz está en español. Se identifica una inconsistencia de idioma en la interfaz.</t>
  </si>
  <si>
    <t>El sistema debe validar el formato del correo electrónico y no permitir continuar con el registro cuando el valor ingresado no corresponde a una dirección de correo válida.</t>
  </si>
  <si>
    <t>El sistema detectó que el correo ingresado no tenía un formato válido y mostró el mensaje “Ingrese un correo válido.”</t>
  </si>
  <si>
    <t>El sistema debe impedir completar el registro cuando los valores ingresados en los campos Contraseña y Repetir contraseña no coinciden.</t>
  </si>
  <si>
    <t>El sistema detectó que las contraseñas ingresadas eran diferentes y mostró el mensaje “Las contraseñas no coinciden.”</t>
  </si>
  <si>
    <t>El sistema debe impedir completar el registro cuando el usuario no ha aceptado los Términos y Condiciones.</t>
  </si>
  <si>
    <t>El sistema detectó que los Términos y Condiciones no habían sido aceptados y mostró el mensaje “Debe aceptar los términos y condiciones.”</t>
  </si>
  <si>
    <t>El sistema debe impedir el acceso cuando el correo electrónico o la contraseña ingresados no corresponden a credenciales válidas, mostrando un mensaje de error sin revelar cuál de los datos es incorrecto.</t>
  </si>
  <si>
    <t>El sistema rechazó el inicio de sesión y mostró el mensaje “Correo o contraseña incorrectos.”</t>
  </si>
  <si>
    <t>Después de cerrar sesión, el sistema no debe permitir que el usuario acceda a rutas o funcionalidades protegidas sin autenticarse nuevamente.</t>
  </si>
  <si>
    <t>Después de cerrar sesión, se intentó acceder manualmente a la ruta interna /main. El sistema no permitió el acceso y redirigió automáticamente al usuario a la pantalla /login.</t>
  </si>
  <si>
    <t>1. Acceder a Mi Perfil. 
2. En el campo Correo Electrónico, reemplazar el correo actual por uno con formato inválido.
3. Mantener los demás datos sin cambios.
 4. Click en Guardar Cambios.</t>
  </si>
  <si>
    <t>El sistema debe impedir guardar el perfil con un correo electrónico de formato inválido y mostrar un mensaje de validación.</t>
  </si>
  <si>
    <t>Al ingresar el correo inválido cristina@, el sistema detectó el formato incorrecto y mostró el mensaje “Ingresa un correo válido.”</t>
  </si>
  <si>
    <t>El campo Correo Electrónico del perfil debe aceptar únicamente direcciones con formato válido y el sistema no debe permitir guardar un correo con formato incorrecto.</t>
  </si>
  <si>
    <t>BRP-1</t>
  </si>
  <si>
    <t>BRP-2</t>
  </si>
  <si>
    <t>BRP-3</t>
  </si>
  <si>
    <t>BRP-4</t>
  </si>
  <si>
    <t>BRP-5</t>
  </si>
  <si>
    <t>BRP-6</t>
  </si>
  <si>
    <t>BRP-7</t>
  </si>
  <si>
    <t>1. Iniciar sesión como Tutor.
2. Ingresar a la opción de registro de Paciente.
3. Completar los campos:
  a. Nombre.
  b. Apellidos.
  c. Correo electrónico.
  d. Teléfono móvil.
  e. Contraseña.
  f. Repetir contraseña.
4. Aceptar los Términos y Condiciones.
5. Presionar la opción para registrar al Paciente.</t>
  </si>
  <si>
    <t>El sistema crea correctamente al Paciente, lo asocia al Tutor que realiza el registro y muestra una confirmación de registro exitoso.</t>
  </si>
  <si>
    <t>a. Alejandra
b. Pérez Soto
c. cristy.ale.gonzalez@gmail.com
d. 912345678
e. Ale123
f. Ale123
g. Términos y Condiciones: Aceptados</t>
  </si>
  <si>
    <t>El Tutor deberá poder registrar un Paciente cuando todos los campos obligatorios contengan datos válidos y el Paciente deberá quedar asociado al Tutor responsable.</t>
  </si>
  <si>
    <t>Gestión de Pacientes</t>
  </si>
  <si>
    <t>MTC-180</t>
  </si>
  <si>
    <t>Tutor autenticado y formulario de registro de Paciente disponible.</t>
  </si>
  <si>
    <t>Validar campos obligatorios del registro de Paciente</t>
  </si>
  <si>
    <t>El Tutor debe estar registrado, autenticado y tener acceso a la opción de registro de Paciente.</t>
  </si>
  <si>
    <t>Registrar Paciente con datos válidos</t>
  </si>
  <si>
    <t>1. Iniciar sesión como Tutor.
2. Acceder al registro de Paciente.
3. Completar los campos obligatorios excepto uno de ellos.
4. Aceptar los Términos y Condiciones.
5. Intentar registrar al Paciente.
6. Repetir la prueba dejando sin completar distintos campos obligatorios.</t>
  </si>
  <si>
    <t>El sistema impide el registro e informa cuáles campos obligatorios deben ser completados.</t>
  </si>
  <si>
    <r>
      <rPr>
        <b/>
        <sz val="11"/>
        <color theme="1"/>
        <rFont val="Calibri"/>
        <family val="2"/>
      </rPr>
      <t>a. Dejar Vacio</t>
    </r>
    <r>
      <rPr>
        <sz val="11"/>
        <color theme="1"/>
        <rFont val="Calibri"/>
        <family val="2"/>
      </rPr>
      <t xml:space="preserve">
b. Pérez Soto
c. cristy.ale.gonzalez@gmail.com
d. 912345678
e. Ale123
f. Ale123
g. Términos y Condiciones: Aceptados</t>
    </r>
  </si>
  <si>
    <t>El sistema deberá impedir el registro cuando existan campos obligatorios incompletos e informar el error correspondiente.</t>
  </si>
  <si>
    <t>MTC-190</t>
  </si>
  <si>
    <t>Debe existir previamente una cuenta registrada con el correo utilizado en la prueba.</t>
  </si>
  <si>
    <t>Rechazar correo electrónico duplicado al registrar Paciente</t>
  </si>
  <si>
    <t>El sistema impide crear el Paciente utilizando un correo electrónico ya registrado e informa el error correspondiente.</t>
  </si>
  <si>
    <r>
      <t>1. Iniciar sesión como Tutor.
2. Acceder al registro de Paciente.
3. Completar los campos:
  a. Nombre.
  b. Apellidos.
 </t>
    </r>
    <r>
      <rPr>
        <b/>
        <sz val="11"/>
        <color theme="1"/>
        <rFont val="Calibri"/>
        <family val="2"/>
      </rPr>
      <t> c. Correo electrónico ya registrado</t>
    </r>
    <r>
      <rPr>
        <sz val="11"/>
        <color theme="1"/>
        <rFont val="Calibri"/>
        <family val="2"/>
      </rPr>
      <t>.
  d. Teléfono móvil.
  e. Contraseña.
  f. Repetir contraseña.
4. Aceptar los Términos y Condiciones.
5. Intentar registrar al Paciente.</t>
    </r>
  </si>
  <si>
    <r>
      <t xml:space="preserve">a. Alejandra
b. Pérez Soto
</t>
    </r>
    <r>
      <rPr>
        <b/>
        <sz val="11"/>
        <color theme="1"/>
        <rFont val="Calibri"/>
        <family val="2"/>
      </rPr>
      <t>c. cristy.ale.gonzalez@gmail.com</t>
    </r>
    <r>
      <rPr>
        <sz val="11"/>
        <color theme="1"/>
        <rFont val="Calibri"/>
        <family val="2"/>
      </rPr>
      <t xml:space="preserve">
d. 912345678
e. Ale123
f. Ale123
g. Términos y Condiciones: Aceptados</t>
    </r>
  </si>
  <si>
    <t>El correo electrónico deberá ser único dentro de RutiMed.</t>
  </si>
  <si>
    <t>MTC-200</t>
  </si>
  <si>
    <t>Tutor autenticado y formulario de registro disponible.</t>
  </si>
  <si>
    <t>Validar contraseña y confirmación en registro de Paciente</t>
  </si>
  <si>
    <t>El sistema impide el registro cuando las contraseñas no coinciden o la contraseña no cumple el mínimo de 6 caracteres.</t>
  </si>
  <si>
    <r>
      <t xml:space="preserve">1. Iniciar sesión como Tutor.
2. Acceder al registro de Paciente.
3. Completar 
  a. Nombre.
  b. Apellidos.
  c. Correo electrónico.
  d. Teléfono móvil.
  e. Ingresar una contraseña válida.
  f. </t>
    </r>
    <r>
      <rPr>
        <b/>
        <sz val="11"/>
        <color theme="1"/>
        <rFont val="Calibri"/>
        <family val="2"/>
      </rPr>
      <t xml:space="preserve"> Ingresar una contraseña diferente en Repetir contraseña.</t>
    </r>
    <r>
      <rPr>
        <sz val="11"/>
        <color theme="1"/>
        <rFont val="Calibri"/>
        <family val="2"/>
      </rPr>
      <t xml:space="preserve">
4. Aceptar Términos y Condiciones.
5. Intentar registrar al Paciente.
6. Repetir la prueba utilizando una contraseña con menos de 6 caracteres.</t>
    </r>
  </si>
  <si>
    <t>Prueba 1:
a. Contraseña: Ale123
b. Repetir contraseña: Ana124
Prueba 2:
a. Contraseña: Ale1
b. Repetir contraseña: Ale1</t>
  </si>
  <si>
    <t>La contraseña deberá tener un mínimo de 6 caracteres y deberá coincidir exactamente con su confirmación.</t>
  </si>
  <si>
    <t>MTC-210</t>
  </si>
  <si>
    <t>MTC-220</t>
  </si>
  <si>
    <t>MTC-230</t>
  </si>
  <si>
    <t>MTC-240</t>
  </si>
  <si>
    <t>MTC-250</t>
  </si>
  <si>
    <t>MTC-260</t>
  </si>
  <si>
    <t>MTC-270</t>
  </si>
  <si>
    <t>MTC-280</t>
  </si>
  <si>
    <t>MTC-290</t>
  </si>
  <si>
    <t>MTC-300</t>
  </si>
  <si>
    <t>MTC-310</t>
  </si>
  <si>
    <t>MTC-320</t>
  </si>
  <si>
    <t>MTC-330</t>
  </si>
  <si>
    <t>MTC-340</t>
  </si>
  <si>
    <t>MTC-350</t>
  </si>
  <si>
    <t>MTC-360</t>
  </si>
  <si>
    <t>MTC-370</t>
  </si>
  <si>
    <t>MTC-380</t>
  </si>
  <si>
    <t>MTC-400</t>
  </si>
  <si>
    <t>MTC-410</t>
  </si>
  <si>
    <t>BRP-8</t>
  </si>
  <si>
    <t>Paciente registrado y usuario autorizado para registrar la autorización.</t>
  </si>
  <si>
    <t>Registrar autorización para tratamiento de datos</t>
  </si>
  <si>
    <t>1. Iniciar sesión con un usuario autorizado.
2. Acceder al Paciente correspondiente.
3. Ingresar a la sección de autorización para tratamiento de datos.
4. Revisar la finalidad informada para el tratamiento de los datos.
5. Seleccionar la opción de aceptación expresa.
6. Confirmar la autorización.
7. Consultar el estado de la autorización.</t>
  </si>
  <si>
    <t>El sistema registra la autorización como aceptada y almacena estado, fecha, hora y usuario responsable.</t>
  </si>
  <si>
    <t>a. Paciente: Alejandra Pérez Soto
b. Estado inicial: Pendiente
c. Acción: Aceptar autorización</t>
  </si>
  <si>
    <t>La autorización aceptada deberá quedar almacenada junto con su estado, fecha, hora y usuario que realizó la acción.</t>
  </si>
  <si>
    <t>Paciente registrado cuya autorización se encuentre Pendiente o no aceptada.</t>
  </si>
  <si>
    <t>Restringir acceso a datos sin autorización aceptada</t>
  </si>
  <si>
    <t>El sistema impide acceder o tratar la información protegida mientras la autorización requerida no haya sido aceptada.</t>
  </si>
  <si>
    <t>a. Paciente: Alejandra Pérez Soto
b. Estado autorización: Pendiente</t>
  </si>
  <si>
    <t>Si la autorización requerida no ha sido aceptada, el sistema deberá restringir las funcionalidades que impliquen tratamiento de datos protegidos.</t>
  </si>
  <si>
    <t xml:space="preserve"> 1. Iniciar sesión con un usuario autorizado.
2. Seleccionar un Paciente cuya autorización no esté aceptada.
3. Intentar acceder a una funcionalidad que requiera tratamiento de información protegida.
4. Verificar el comportamiento del sistema.</t>
  </si>
  <si>
    <t>BRP-9</t>
  </si>
  <si>
    <t>Tutor autenticado y Paciente previamente registrado y asociado.</t>
  </si>
  <si>
    <t>Habilitar acceso del Paciente</t>
  </si>
  <si>
    <t>1. Iniciar sesión como Tutor.
2. Acceder a la gestión del Paciente.
3. Consultar el estado de acceso del Paciente.
4. Seleccionar la opción para habilitar el acceso.
5. Confirmar la acción.
6. Cerrar sesión del Tutor.
7. Intentar iniciar sesión utilizando las credenciales propias del Paciente.</t>
  </si>
  <si>
    <t>El acceso queda habilitado y el Paciente puede ingresar a RutiMed con sus credenciales.</t>
  </si>
  <si>
    <t>El Tutor deberá poder habilitar el acceso de un Paciente registrado y asociado a su cuenta.</t>
  </si>
  <si>
    <t>Paciente registrado con acceso habilitado.</t>
  </si>
  <si>
    <t>Deshabilitar acceso del Paciente</t>
  </si>
  <si>
    <t>1. Iniciar sesión como Tutor.
2. Acceder al Paciente asociado.
3. Seleccionar la opción para deshabilitar el acceso.
4. Confirmar la acción.
5. Cerrar sesión del Tutor.
6. Intentar iniciar sesión utilizando las credenciales válidas del Paciente.</t>
  </si>
  <si>
    <t>El sistema impide el inicio de sesión del Paciente debido a que su acceso se encuentra deshabilitado.</t>
  </si>
  <si>
    <t>a. Paciente: Alejandra Pérez Soto
b. Correo: cristy.ale.gonzalez@gmail.com
c. Contraseña: Ale123
d. Estado inicial: Deshabilitado</t>
  </si>
  <si>
    <t>a. Paciente: Alejandra Pérez Soto
b. Correo: cristy.ale.gonzalez@gmail.com
c. Contraseña: Ale123
d. Estado inicial: Habilitado</t>
  </si>
  <si>
    <t>Cuando el acceso esté deshabilitado, el sistema deberá impedir que el Paciente ingrese a RutiMed.</t>
  </si>
  <si>
    <t>Paciente con información registrada y acceso habilitado.</t>
  </si>
  <si>
    <t>Conservar información al deshabilitar acceso del Paciente</t>
  </si>
  <si>
    <t>1. Iniciar sesión como Tutor.
2. Consultar la información existente del Paciente.
3. Deshabilitar su acceso.
4. Volver a consultar el perfil del Paciente desde la cuenta del Tutor.
5. Comparar la información con la existente antes de la deshabilitación.</t>
  </si>
  <si>
    <t>La deshabilitación del acceso no elimina ni modifica la información histórica del Paciente.</t>
  </si>
  <si>
    <t>a. Paciente: Alejandra Pérez Soto
b. Estado inicial: Habilitado
c. Información previa registrada: Perfil y antecedentes existentes</t>
  </si>
  <si>
    <t>La deshabilitación del acceso no deberá eliminar la información histórica asociada al Paciente.</t>
  </si>
  <si>
    <t>BRP-174</t>
  </si>
  <si>
    <t>Registrar Cuidador desde el perfil del Tutor</t>
  </si>
  <si>
    <t>El Tutor debe estar registrado, autenticado y tener acceso a la opción de registro del Cuidador.</t>
  </si>
  <si>
    <t>1. Iniciar sesión como Tutor.
2. Acceder al perfil del Tutor.
3. Seleccionar la opción para registrar un nuevo Cuidador.
4. Completar:
  a. Nombre.
  b. Apellidos.
  c. Correo electrónico.
  d. Teléfono móvil.
  e. Contraseña.
  f. Repetir contraseña.
5. Aceptar Términos y Condiciones.
6. Presionar Registrar.</t>
  </si>
  <si>
    <t xml:space="preserve">Plan de prueba proyecto
RutiMed </t>
  </si>
  <si>
    <r>
      <rPr>
        <b/>
        <sz val="12"/>
        <color theme="1"/>
        <rFont val="Calibri"/>
        <family val="2"/>
        <scheme val="minor"/>
      </rPr>
      <t>Integrantes:</t>
    </r>
    <r>
      <rPr>
        <sz val="12"/>
        <color theme="1"/>
        <rFont val="Calibri"/>
        <family val="2"/>
        <scheme val="minor"/>
      </rPr>
      <t xml:space="preserve">
Cristina González, Analista QA
Nicolás Herrera, Desarrollador
Willioxer Paz, Desarrollador
</t>
    </r>
  </si>
  <si>
    <t>Se crea correctamente una cuenta con rol Cuidador y queda disponible para asociación posterior mediante BRP-10.</t>
  </si>
  <si>
    <r>
      <t xml:space="preserve">Datos de prueba:
a. Carlos
b. Rojas Díaz
c. </t>
    </r>
    <r>
      <rPr>
        <b/>
        <sz val="11"/>
        <color theme="1"/>
        <rFont val="Calibri"/>
        <family val="2"/>
      </rPr>
      <t xml:space="preserve">Correo de test
</t>
    </r>
    <r>
      <rPr>
        <sz val="11"/>
        <color theme="1"/>
        <rFont val="Calibri"/>
        <family val="2"/>
      </rPr>
      <t>d. 923456789
e. Carlos123
f. Carlos123
g. Términos: Aceptados</t>
    </r>
  </si>
  <si>
    <t>El Tutor autenticado puede registrar un Cuidador con datos válidos desde su perfil.</t>
  </si>
  <si>
    <t>El correo deberá ser válido y único dentro de RutiMed.</t>
  </si>
  <si>
    <t>Verificar que el Cuidador no se asocie automáticamente</t>
  </si>
  <si>
    <t>El Tutor debe estar autenticado y debe existir previamente una cuenta registrada para ejecutar la validación de correo duplicado.</t>
  </si>
  <si>
    <t xml:space="preserve">Validar correo electrónico inválido o duplicado en registro de Cuidador
</t>
  </si>
  <si>
    <t>1. Iniciar sesión como Tutor.
2. Acceder al perfil del Tutor.
3. Seleccionar la opción para registrar un Cuidador.
4. Completar:
   a. Nombre.
   b. Apellidos.
   c. Correo electrónico con formato inválido.
   d. Teléfono móvil.
   e. Contraseña.
   f. Repetir contraseña.
5. Aceptar los Términos y Condiciones.
6. Intentar registrar al Cuidador.
7. Repetir el procedimiento utilizando un correo electrónico que ya se encuentre registrado.</t>
  </si>
  <si>
    <t>El sistema impide el registro cuando el correo presenta un formato inválido o ya existe en RutiMed y muestra el mensaje correspondiente.</t>
  </si>
  <si>
    <t>Dato de prueba:
a. Carlos
b. Rojas Díaz
c. Prueba 1: Carlos@ (Correo invalido).
d. Prueba 2: cristy.ale.gonzalez@gmail.com previamente registrado
e. 923456789
f. Carlos123</t>
  </si>
  <si>
    <t>El Tutor debe estar autenticado y debe haberse registrado correctamente un nuevo Cuidador mediante BRP-174.</t>
  </si>
  <si>
    <t>1. Iniciar sesión como Tutor.
2. Registrar correctamente un nuevo Cuidador desde el perfil del Tutor.
3. Confirmar que la cuenta del Cuidador fue creada.
4. Acceder a la sección de gestión o asociación de Cuidadores.
5 .Buscar al Cuidador recién registrado.
6. Consultar sus asociaciones activas.
7. Verificar que no exista ningún Paciente asociado automáticamente.</t>
  </si>
  <si>
    <t>El Cuidador queda registrado en RutiMed, pero no queda asociado automáticamente a ningún Paciente.</t>
  </si>
  <si>
    <t>Dato de prueba:
a. Cuidador: Carlos Rojas Díaz
b. Correo: carlos.rojas@test.cl
c. Asociación esperada: Ninguna</t>
  </si>
  <si>
    <t>La creación de la cuenta del Cuidador no deberá asociarlo automáticamente a un Paciente; la relación deberá realizarse posteriormente mediante BRP-10.</t>
  </si>
  <si>
    <t>BRP-10</t>
  </si>
  <si>
    <t>El Tutor debe estar autenticado, debe existir un Paciente asociado a su cuenta y debe existir un Cuidador registrado y disponible para asociación.</t>
  </si>
  <si>
    <t>Asociar Cuidador a Paciente correctamente</t>
  </si>
  <si>
    <t>El sistema crea una relación activa entre el Paciente y el Cuidador y muestra una confirmación de asociación exitosa.</t>
  </si>
  <si>
    <t>El Tutor deberá poder asociar un Cuidador registrado con un Paciente bajo su responsabilidad.</t>
  </si>
  <si>
    <t>El Tutor debe estar autenticado y debe existir previamente una asociación activa entre el Paciente y el Cuidador utilizados en la prueba.</t>
  </si>
  <si>
    <t>Impedir asociación duplicada entre Paciente y Cuidador</t>
  </si>
  <si>
    <t>El sistema impide crear una segunda asociación activa entre el mismo Paciente y Cuidador e informa la situación.</t>
  </si>
  <si>
    <t>Dato de prueba:
a. Paciente: Alejandra Pérez Soto
b. Cuidador: Carlos Rojas Díaz</t>
  </si>
  <si>
    <t>Dato de prueba:
a. Paciente: Alejandra Pérez Soto
b. Cuidador: Carlos Rojas Díaz
c. Estado de asociación existente: Activa</t>
  </si>
  <si>
    <t>No deberá permitirse más de una asociación activa entre el mismo Paciente y Cuidador.</t>
  </si>
  <si>
    <t>Debe existir un Paciente asociado a un Tutor diferente del usuario utilizado para ejecutar la prueba y un Cuidador registrado.</t>
  </si>
  <si>
    <t>Impedir asociación de Cuidador por Tutor no autorizado</t>
  </si>
  <si>
    <t>Paso a paso:
1. Iniciar sesión con un Tutor que no sea responsable del Paciente.
2. Intentar acceder al Paciente.
3. Intentar seleccionar la opción para asociar un Cuidador.
4. Seleccionar al Cuidador si la interfaz lo permite.
5. Intentar confirmar la asociación.</t>
  </si>
  <si>
    <t>El sistema impide que un Tutor no asociado al Paciente cree una relación con un Cuidador.</t>
  </si>
  <si>
    <t>Dato de prueba:
a. Paciente: Alejandra Pérez Soto
b. Tutor responsable: Tutor A
c. Usuario de prueba: Tutor B
d. Cuidador: Carlos Rojas Díaz</t>
  </si>
  <si>
    <t>Solo un Tutor activo y asociado al Paciente podrá autorizar la incorporación de un Cuidador.</t>
  </si>
  <si>
    <t>BRP-12</t>
  </si>
  <si>
    <t>El Tutor debe estar autenticado y debe existir una asociación activa entre el Paciente y el Cuidador.</t>
  </si>
  <si>
    <t>Desvincular Cuidador del Paciente correctamente</t>
  </si>
  <si>
    <t>Paso a paso:
1. Iniciar sesión como Tutor.
2. Acceder al Paciente asociado.
3. Consultar los Cuidadores asociados.
4. Seleccionar un Cuidador con relación activa.
5. Seleccionar la opción Desvincular.
6. Confirmar la acción.
7. Consultar nuevamente el estado de la relación.</t>
  </si>
  <si>
    <t>La asociación cambia a estado Inactiva, el Cuidador pierde el acceso futuro al Paciente y la relación histórica se conserva.</t>
  </si>
  <si>
    <t>Dato de prueba:
a. Paciente: Alejandra Pérez Soto
b. Cuidador: Carlos Rojas Díaz
c. Estado inicial: Activa
d. Estado esperado: Inactiva</t>
  </si>
  <si>
    <t>El Tutor deberá poder desvincular a un Cuidador con relación activa sin eliminar la información histórica.</t>
  </si>
  <si>
    <t>El Tutor debe estar autenticado, debe existir una asociación activa y el Cuidador debe tener al menos una actividad o turno futuro asociado al Paciente.</t>
  </si>
  <si>
    <t>Advertir actividades futuras antes de desvincular Cuidador</t>
  </si>
  <si>
    <t>Paso a paso:
1. Iniciar sesión como Tutor.
2. Acceder al Paciente.
3. Consultar los Cuidadores asociados.
4. Seleccionar un Cuidador que tenga actividades o turnos futuros.
5. Seleccionar la opción Desvincular.
6. Revisar la advertencia presentada por el sistema antes de confirmar.</t>
  </si>
  <si>
    <t>El sistema informa al Tutor que existen actividades o turnos futuros asociados al Cuidador antes de completar la desvinculación.</t>
  </si>
  <si>
    <t>Dato de prueba:
a. Paciente: Alejandra Pérez Soto
b. Cuidador: Carlos Rojas Díaz
c. Actividad futura: Visita domiciliaria pendiente</t>
  </si>
  <si>
    <t>Si existen actividades o turnos futuros, el sistema deberá informar al Tutor antes de confirmar la desvinculación.</t>
  </si>
  <si>
    <t>BRP-14</t>
  </si>
  <si>
    <t>El usuario debe estar autenticado y mantener una relación activa y autorizada con el Paciente.</t>
  </si>
  <si>
    <t>Consultar perfil del Paciente con usuario autorizado</t>
  </si>
  <si>
    <t>Paso a paso:
1. Iniciar sesión con un usuario autorizado.
2. Acceder a la gestión de Pacientes.
3. Seleccionar al Paciente asociado.
4. Abrir el perfil del Paciente.
5. Revisar la información mostrada.
6. Verificar que corresponda al nivel de acceso del rol autenticado.</t>
  </si>
  <si>
    <t>El sistema muestra únicamente la información del Paciente autorizada para el rol del usuario.</t>
  </si>
  <si>
    <t>Dato de prueba:
a. Paciente: Alejandra Pérez Soto
b. Usuario: Tutor asociado
c. Relación: Activa</t>
  </si>
  <si>
    <t>Los usuarios autorizados deberán poder consultar la información del Paciente de acuerdo con su rol y nivel de acceso.</t>
  </si>
  <si>
    <t>Debe existir un usuario autenticado que no mantenga una relación activa ni autorizada con el Paciente seleccionado.</t>
  </si>
  <si>
    <t>Impedir consulta del perfil del Paciente a usuario no autorizado</t>
  </si>
  <si>
    <t>Paso a paso:
1. Iniciar sesión con un usuario no asociado al Paciente.
2. Intentar acceder al perfil del Paciente.
3. Verificar el comportamiento del sistema.
4. Comprobar que no se muestre información protegida.</t>
  </si>
  <si>
    <t>El sistema deniega el acceso y no expone información del Paciente.</t>
  </si>
  <si>
    <t>Dato de prueba:
a. Paciente: Alejandra Pérez Soto
b. Usuario: Cuidador sin asociación activa</t>
  </si>
  <si>
    <t>Un usuario que no mantenga una relación activa y autorizada con el Paciente no deberá acceder a su información.</t>
  </si>
  <si>
    <t>BRP-16</t>
  </si>
  <si>
    <t>El Tutor debe estar autenticado y mantener una relación activa con el Paciente que será modificado.</t>
  </si>
  <si>
    <t>Modificar datos del Paciente correctamente</t>
  </si>
  <si>
    <t>Paso a paso:
1. Iniciar sesión como Tutor.
2. Acceder al perfil del Paciente asociado.
3. Seleccionar la opción Editar.
4. Modificar:
   a. Nombre.
   b. Apellidos.
   c. Correo electrónico.
   d. Teléfono móvil.
5. Guardar los cambios.
6. Salir del perfil.
7. Volver a ingresar al perfil del Paciente.
8. Verificar que los cambios permanezcan guardados.</t>
  </si>
  <si>
    <t>El sistema actualiza correctamente los datos y los mantiene almacenados al volver a consultar el perfil.</t>
  </si>
  <si>
    <t>Dato de prueba:
a. Nombre: Alejandra María
b. Apellidos: Pérez Soto
c. Correo electrónico: cristy.ale.gonzalez@gmail.com
d. Teléfono móvil: 934567890</t>
  </si>
  <si>
    <t>El Tutor deberá poder modificar y guardar los campos habilitados utilizando información válida.</t>
  </si>
  <si>
    <t xml:space="preserve">El Tutor debe estar autenticado y tener autorización para modificar al Paciente.
</t>
  </si>
  <si>
    <t>Rechazar modificación del Paciente con datos inválidos</t>
  </si>
  <si>
    <t>Paso a paso:
1. Iniciar sesión como Tutor.
2. Acceder al perfil del Paciente.
3. Seleccionar Editar.
4. Modificar el correo electrónico ingresando un formato inválido.
5. Intentar guardar los cambios.
6. Repetir la prueba dejando un campo obligatorio vacío.
7. Intentar guardar nuevamente.</t>
  </si>
  <si>
    <t>El sistema impide guardar la información inválida e informa el campo que debe ser corregido.</t>
  </si>
  <si>
    <t>Dato de prueba:
a. Correo inválido: alejandra@
b. Nombre: vacío</t>
  </si>
  <si>
    <t>Los datos modificados deberán cumplir con las mismas reglas de formato y obligatoriedad establecidas para el registro.</t>
  </si>
  <si>
    <t>BRP-18</t>
  </si>
  <si>
    <t>El Tutor debe estar autenticado, asociado al Paciente y debe existir la autorización correspondiente para el tratamiento de sus datos.</t>
  </si>
  <si>
    <t>Registrar antecedentes relevantes del Paciente</t>
  </si>
  <si>
    <t>Paso a paso:
1. Iniciar sesión como Tutor.
2. Acceder al Paciente asociado.
3. Abrir la sección de antecedentes relevantes.
4. Completar:
   a. Alergias.
   b. Condiciones relevantes para el cuidado.
   c. Restricciones.
   d. Nivel de movilidad.
   e. Necesidades de apoyo.
   f. Observaciones generales.
5. Guardar la información.
6. Salir de la sección.
7. Volver a consultar los antecedentes.</t>
  </si>
  <si>
    <t>Los antecedentes quedan correctamente almacenados y disponibles para consulta posterior.</t>
  </si>
  <si>
    <t>Dato de prueba:
a. Alergias: Penicilina
b. Condición relevante: Hipertensión
c. Restricción: Dieta baja en sodio
d. Nivel de movilidad: Asistencia parcial
e. Necesidad de apoyo: Acompañamiento para desplazarse
f. Observación: Controlar presión según indicaciones</t>
  </si>
  <si>
    <t>El Tutor autorizado deberá poder registrar y posteriormente visualizar los antecedentes relevantes del Paciente.</t>
  </si>
  <si>
    <t>Debe existir un Paciente registrado y un Tutor autenticado que no mantenga una relación activa con dicho Paciente.</t>
  </si>
  <si>
    <t>Impedir registro de antecedentes por Tutor no autorizado</t>
  </si>
  <si>
    <t>Paso a paso:
1. Iniciar sesión como Tutor no asociado al Paciente.
2. Intentar acceder al Paciente.
3. Intentar ingresar a la sección de antecedentes relevantes.
4. Intentar registrar información si la interfaz lo permite.
5. Intentar guardar los cambios.</t>
  </si>
  <si>
    <t>El sistema impide crear o modificar antecedentes del Paciente.</t>
  </si>
  <si>
    <t>Dato de prueba:
a. Paciente: Alejandra Pérez Soto
b. Usuario: Tutor B sin asociación</t>
  </si>
  <si>
    <t>Solo un Tutor activo y asociado al Paciente podrá crear o modificar sus antecedentes relevantes.</t>
  </si>
  <si>
    <t>BRP-20</t>
  </si>
  <si>
    <t>El usuario debe estar autenticado, mantener una relación activa y autorizada con el Paciente y deben existir antecedentes previamente registrados.</t>
  </si>
  <si>
    <t>Consultar antecedentes relevantes según rol y autorización</t>
  </si>
  <si>
    <t>Paso a paso:
1. Iniciar sesión con un usuario autorizado.
2. Seleccionar al Paciente asociado.
3. Acceder a la sección de antecedentes relevantes.
4. Revisar:
   a. Alergias.
   b. Condiciones relevantes.
   c. Restricciones.
   d. Nivel de movilidad.
   e. Necesidades de apoyo.
   f. Observaciones generales.
5. Verificar que la información visible corresponda al nivel de acceso del usuario autenticado.</t>
  </si>
  <si>
    <t>El sistema muestra únicamente los antecedentes autorizados para el rol del usuario.</t>
  </si>
  <si>
    <t>Cada usuario autorizado deberá visualizar únicamente los antecedentes correspondientes a su rol y nivel de acceso.</t>
  </si>
  <si>
    <t>Impedir consulta de antecedentes sin autorización</t>
  </si>
  <si>
    <t>Debe existir un Paciente con antecedentes registrados y un usuario autenticado que no mantenga una relación activa ni autorización de acceso sobre dicho Paciente.</t>
  </si>
  <si>
    <t>Paso a paso:
1. Iniciar sesión con un usuario no autorizado.
2. Intentar acceder al Paciente.
3. Intentar ingresar a la sección de antecedentes relevantes.
4. Verificar que el sistema rechace el acceso.
5. Comprobar que no se muestre ningún antecedente protegido del Paciente.</t>
  </si>
  <si>
    <t>El sistema deniega el acceso y no expone información de los antecedentes relevantes del Paciente.</t>
  </si>
  <si>
    <t>Sin una relación activa y autorizada con el Paciente, el usuario no deberá poder consultar sus antecedentes relevantes.</t>
  </si>
  <si>
    <t>MTC-390</t>
  </si>
  <si>
    <t>MTC-010</t>
  </si>
  <si>
    <t>MTC-020</t>
  </si>
  <si>
    <t>MTC-030</t>
  </si>
  <si>
    <t>MTC-040</t>
  </si>
  <si>
    <t>MTC-050</t>
  </si>
  <si>
    <t>MTC-060</t>
  </si>
  <si>
    <t>MTC-070</t>
  </si>
  <si>
    <t>MTC-080</t>
  </si>
  <si>
    <t>MTC-090</t>
  </si>
  <si>
    <t>MTC-100</t>
  </si>
  <si>
    <t>MTC-110</t>
  </si>
  <si>
    <t>MTC-120</t>
  </si>
  <si>
    <t>MTC-130</t>
  </si>
  <si>
    <t>MTC-140</t>
  </si>
  <si>
    <t>MTC-150</t>
  </si>
  <si>
    <t>MTC-160</t>
  </si>
  <si>
    <t>MTC-170</t>
  </si>
  <si>
    <t>Dato de prueba:
a. Paciente: Alejandra Pérez Soto
b. Usuario: Cuidador asociado
c. Alergia registrada: Penicilina
d. Restricción registrada: Dieta baja en sodio</t>
  </si>
  <si>
    <t>1. Iniciar sesión como Tutor.
2. Acceder a la gestión del Paciente.
3. Seleccionar la opción para asociar un Cuidador.
4. Seleccionar:
a. Paciente.
b. Cuidador.
5. Confirmar la asociación.
6. Consultar nuevamente los Cuidadores asociados al Paciente.</t>
  </si>
  <si>
    <t>1. Iniciar sesión como Tutor.
2. Acceder al Paciente.
3. Seleccionar la opción para asociar un Cuidador.
4. Seleccionar:
a. El mismo Paciente que ya posee una asociación activa.
b. El mismo Cuidador previamente asociado.
5. Intentar confirmar nuevamente la asociación.</t>
  </si>
  <si>
    <t>MTC-420</t>
  </si>
  <si>
    <t>BRP-209</t>
  </si>
  <si>
    <t>Debe existir un usuario registrado y habilitado en RutiMed. El usuario debe contar con credenciales válidas y acceso a las funcionalidades de inicio de sesión, cambio de contraseña y cierre de sesión.</t>
  </si>
  <si>
    <t>Verificar seguridad de autenticación y credenciales</t>
  </si>
  <si>
    <t>1. Acceder a la pantalla de inicio de sesión.
2. Ingresar un correo electrónico registrado y una contraseña incorrecta.
3. Verificar el mensaje mostrado por el sistema.
4. Iniciar sesión utilizando credenciales válidas.
5. Acceder a la opción de cambio de contraseña.
6. Cambiar la contraseña utilizando una nueva contraseña válida.
7. Cerrar sesión.
8. Intentar acceder nuevamente utilizando la contraseña anterior.
9. Iniciar sesión utilizando la nueva contraseña.
10. Cerrar sesión nuevamente.
11. Intentar acceder directamente a una ruta protegida utilizada anteriormente.</t>
  </si>
  <si>
    <t>El sistema debe gestionar las credenciales y sesiones de forma segura. Debe impedir el acceso con credenciales incorrectas sin revelar cuál de ellas es inválida, invalidar la contraseña anterior después de un cambio exitoso y bloquear el acceso a rutas protegidas una vez cerrada la sesión.</t>
  </si>
  <si>
    <t>El sistema impidió el inicio de sesión con credenciales incorrectas mostrando un mensaje genérico de error. Permitió cambiar correctamente la contraseña desde el perfil y posteriormente iniciar sesión con la nueva contraseña. Después de cerrar sesión, el sistema impidió el acceso directo a una ruta protegida y redirigió al usuario a la pantalla de inicio de sesión.</t>
  </si>
  <si>
    <t>a. Usuario registrado: crisa.gonzalezg@duocuc.cl
b. Contraseña incorrecta: 897650
c. Contraseña válida utilizada en la ejecución: según prueba realizada 123456
d. Ruta protegida utilizada para validación posterior al cierre de sesión: /main</t>
  </si>
  <si>
    <t>El sistema deberá proteger el proceso de autenticación y gestión de credenciales, impidiendo accesos con credenciales inválidas, evitando revelar información sensible en los mensajes de error, permitiendo el cambio seguro de contraseña e impidiendo el acceso a contenido protegido después del cierre de sesión.</t>
  </si>
  <si>
    <t>La validación del RNF-001 se sustenta en pruebas funcionales y de seguridad previamente ejecutadas en el Sprint 1, principalmente MTC-080, MTC-090, MTC-110 y MTC-160. No fue necesario repetir completamente las pruebas, ya que la evidencia existente permite verificar el cumplimiento del requisito no funcional.</t>
  </si>
  <si>
    <t>MTC-430</t>
  </si>
  <si>
    <t>Verificar control de acceso según rol</t>
  </si>
  <si>
    <t>Deben existir usuarios registrados con roles Tutor, Cuidador y Paciente. Debe existir al menos un Paciente con relaciones de acceso configuradas para poder comparar usuarios autorizados y no autorizados.</t>
  </si>
  <si>
    <t>Iniciar sesión como Tutor.  
Acceder a un Paciente asociado a su cuenta.  
Verificar las funcionalidades e información disponibles para el Tutor.  
Cerrar sesión.  
Iniciar sesión como Cuidador con asociación activa al Paciente.  
Acceder al mismo Paciente.  
Verificar que solo pueda consultar las funcionalidades e información permitidas para su rol.  
Cerrar sesión.  
Iniciar sesión con un usuario que no mantenga una relación activa con el Paciente.  
Intentar acceder al perfil o información protegida del Paciente.  
Verificar que el sistema rechace el acceso y no muestre información restringida.</t>
  </si>
  <si>
    <t>El sistema deberá permitir el acceso únicamente a las funcionalidades e información autorizadas según el rol del usuario y su relación activa con el Paciente. Los usuarios sin autorización deberán tener el acceso restringido.</t>
  </si>
  <si>
    <t>a. Tutor: usuario Tutor registrado
b. Paciente: Paciente asociado al Tutor
c. Cuidador autorizado: Cuidador con asociación activa
d. Usuario no autorizado: Cuidador o Tutor sin relación activa con el Paciente</t>
  </si>
  <si>
    <t>Cada usuario deberá acceder únicamente a las funciones e información permitidas para su rol y relación activa con el Paciente. El sistema deberá impedir el acceso cuando no exista autorización suficiente.</t>
  </si>
  <si>
    <t>Este caso valida transversalmente RNF-002 y complementa las pruebas funcionales de autorización y acceso asociadas a BRP-9, BRP-10, BRP-12, BRP-14, BRP-16, BRP-18 y BRP-20.</t>
  </si>
  <si>
    <t>MTC-440</t>
  </si>
  <si>
    <t>MTC-450</t>
  </si>
  <si>
    <t>MTC-460</t>
  </si>
  <si>
    <t>BRP-213</t>
  </si>
  <si>
    <t>BRP-217</t>
  </si>
  <si>
    <t>BRP-221</t>
  </si>
  <si>
    <t>BRP-225</t>
  </si>
  <si>
    <t>Debe existir un Paciente registrado con información personal y antecedentes relevantes almacenados. Deben existir usuarios autorizados y no autorizados respecto del Paciente.</t>
  </si>
  <si>
    <t>Verificar protección de datos personales y sensibles del Paciente</t>
  </si>
  <si>
    <t>Iniciar sesión con un usuario autorizado para consultar al Paciente.  
Acceder al perfil del Paciente.  
Revisar la información disponible según el rol autenticado.  
Acceder a los antecedentes relevantes del Paciente.  
Verificar que únicamente se muestre la información autorizada.  
Cerrar sesión.  
Iniciar sesión con un usuario sin relación activa ni autorización sobre el Paciente.  
Intentar acceder al perfil del Paciente.  
Intentar acceder a sus antecedentes relevantes.  
Verificar que el sistema no exponga información personal o protegida.</t>
  </si>
  <si>
    <t>El sistema deberá proteger los datos personales y sensibles del Paciente, permitiendo su consulta únicamente a usuarios autenticados y autorizados de acuerdo con su rol y relación con el Paciente.</t>
  </si>
  <si>
    <t>a. Paciente: Alejandra Pérez Soto
b. Usuario autorizado: Tutor asociado
c. Usuario no autorizado: Cuidador sin asociación activa
d. Información protegida: datos del perfil y antecedentes relevantes registrados</t>
  </si>
  <si>
    <t>Un usuario no autorizado no deberá poder consultar, modificar ni obtener datos personales o sensibles del Paciente. La información visible deberá corresponder al nivel de acceso permitido para cada rol.</t>
  </si>
  <si>
    <t>Este caso verifica de manera transversal la protección de información definida en RNF-003 y se complementará con las pruebas funcionales de autorización, perfil y antecedentes del Paciente.</t>
  </si>
  <si>
    <t>Debe existir un usuario autenticado con permisos para realizar una acción relevante sobre un Paciente y debe estar disponible el mecanismo utilizado por RutiMed para conservar la información de trazabilidad.</t>
  </si>
  <si>
    <t>Verificar trazabilidad de acciones relevantes</t>
  </si>
  <si>
    <t>Iniciar sesión con un usuario autorizado.  
Seleccionar un Paciente asociado.  
Ejecutar una acción relevante, por ejemplo habilitar o deshabilitar acceso, asociar o desvincular un Cuidador, modificar datos o registrar antecedentes.  
Confirmar que la acción se complete correctamente.  
Consultar la información de trazabilidad disponible para la acción realizada.  
Verificar que se identifique la acción ejecutada.  
Verificar la fecha y hora del registro.  
Verificar el usuario responsable de la acción.  
Verificar que el registro se encuentre relacionado con el elemento afectado.  
Comprobar que la información histórica permanezca disponible después de un cambio de estado o desvinculación.</t>
  </si>
  <si>
    <t>El sistema deberá conservar información suficiente para identificar las acciones relevantes realizadas, incluyendo acción, fecha, hora, usuario responsable y elemento afectado cuando corresponda.</t>
  </si>
  <si>
    <t>a. Usuario responsable: Tutor autenticado
b. Paciente: Paciente asociado
c. Acción de prueba: acción relevante disponible en Sprint 2
d. Datos esperados de trazabilidad: acción, fecha, hora, usuario y elemento afectado</t>
  </si>
  <si>
    <t>Las acciones relevantes deberán generar información de trazabilidad persistente que permita conocer qué acción se realizó, cuándo ocurrió, quién la realizó y sobre qué elemento se ejecutó.</t>
  </si>
  <si>
    <t>Transversal</t>
  </si>
  <si>
    <t>La acción específica utilizada deberá seleccionarse de acuerdo con las funcionalidades efectivamente implementadas en Sprint 2. No se debe declarar cumplimiento hasta comprobar que la información de trazabilidad realmente queda almacenada.</t>
  </si>
  <si>
    <t>Deben estar disponibles los formularios y funcionalidades de Sprint 2 que permitan registrar o modificar información del Paciente o del Cuidador.</t>
  </si>
  <si>
    <t>Verificar integridad y validación de datos</t>
  </si>
  <si>
    <t>Iniciar sesión con un usuario autorizado.  
Acceder a una funcionalidad de registro o modificación disponible en Sprint 2.  
Intentar guardar información dejando un campo obligatorio vacío.  
Verificar que el sistema impida almacenar el registro.  
Ingresar un correo electrónico con formato inválido.  
Intentar guardar nuevamente.  
Verificar que el sistema rechace el dato inválido.  
Cuando corresponda, intentar utilizar un correo ya registrado.  
Verificar que el sistema impida generar un registro duplicado.  
Ingresar finalmente información válida.  
Guardar los cambios.  
Volver a consultar el registro y comprobar que la información almacenada corresponda a los datos ingresados.</t>
  </si>
  <si>
    <t>El sistema deberá impedir la persistencia de información incompleta, inválida o duplicada cuando exista una regla de unicidad, y deberá almacenar correctamente la información cuando esta cumpla las reglas definidas.</t>
  </si>
  <si>
    <t>a. Campo obligatorio: vacío
b. Correo inválido: alejandra@
c. Correo duplicado: correo previamente registrado en RutiMed
d. Datos válidos: información que cumpla las reglas definidas para la funcionalidad evaluada</t>
  </si>
  <si>
    <t>Los datos registrados o modificados deberán respetar las reglas de obligatoriedad, formato, unicidad y consistencia definidas por RutiMed. La información inválida no deberá quedar almacenada.</t>
  </si>
  <si>
    <t>Este caso evalúa RNF-005 de forma transversal. Los casos funcionales MTC-180, MTC-190, MTC-200, MTC-270 y MTC-370 aportarán evidencia adicional sobre validaciones específicas de cada funcionalidad.    Texto pegado    Texto pegado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</si>
</sst>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9" x14ac:knownFonts="1">
    <font>
      <sz val="11"/>
      <color theme="1"/>
      <name val="Calibri"/>
      <scheme val="minor"/>
    </font>
    <font>
      <sz val="12"/>
      <color theme="1"/>
      <name val="Calibri"/>
      <family val="2"/>
      <scheme val="minor"/>
    </font>
    <font>
      <sz val="12"/>
      <color theme="1"/>
      <name val="Calibri"/>
      <family val="2"/>
      <scheme val="minor"/>
    </font>
    <font>
      <sz val="11"/>
      <color theme="1"/>
      <name val="Calibri"/>
      <family val="2"/>
    </font>
    <font>
      <sz val="11"/>
      <color theme="1"/>
      <name val="Calibri"/>
      <family val="2"/>
      <scheme val="minor"/>
    </font>
    <font>
      <b/>
      <sz val="11"/>
      <color theme="1"/>
      <name val="Calibri"/>
      <family val="2"/>
      <scheme val="minor"/>
    </font>
    <font>
      <b/>
      <sz val="11"/>
      <color theme="1"/>
      <name val="Calibri"/>
      <family val="2"/>
    </font>
    <font>
      <sz val="11"/>
      <color rgb="FF000000"/>
      <name val="Calibri"/>
      <family val="2"/>
    </font>
    <font>
      <sz val="11"/>
      <name val="Calibri"/>
      <family val="2"/>
    </font>
    <font>
      <sz val="11"/>
      <color rgb="FF000000"/>
      <name val="Inconsolata"/>
    </font>
    <font>
      <sz val="20"/>
      <color theme="1"/>
      <name val="Calibri"/>
      <family val="2"/>
    </font>
    <font>
      <sz val="8"/>
      <name val="Calibri"/>
      <family val="2"/>
      <scheme val="minor"/>
    </font>
    <font>
      <b/>
      <sz val="12"/>
      <color theme="1"/>
      <name val="Calibri"/>
      <family val="2"/>
      <scheme val="minor"/>
    </font>
    <font>
      <b/>
      <sz val="24"/>
      <color theme="1"/>
      <name val="Calibri"/>
      <family val="2"/>
    </font>
    <font>
      <b/>
      <sz val="11"/>
      <name val="Calibri"/>
      <family val="2"/>
    </font>
    <font>
      <sz val="12"/>
      <name val="Calibri"/>
      <family val="2"/>
      <scheme val="minor"/>
    </font>
    <font>
      <sz val="11"/>
      <color theme="3"/>
      <name val="Calibri"/>
      <family val="2"/>
    </font>
    <font>
      <sz val="11"/>
      <color rgb="FFFF0000"/>
      <name val="Calibri"/>
      <family val="2"/>
    </font>
    <font>
      <b/>
      <sz val="20"/>
      <color theme="1"/>
      <name val="Calibri"/>
      <family val="2"/>
    </font>
  </fonts>
  <fills count="15">
    <fill>
      <patternFill patternType="none"/>
    </fill>
    <fill>
      <patternFill patternType="gray125"/>
    </fill>
    <fill>
      <patternFill patternType="solid">
        <fgColor rgb="FFFFFFFF"/>
        <bgColor rgb="FFFFFFFF"/>
      </patternFill>
    </fill>
    <fill>
      <patternFill patternType="solid">
        <fgColor rgb="FFE2EFDA"/>
        <bgColor rgb="FFE2EFDA"/>
      </patternFill>
    </fill>
    <fill>
      <patternFill patternType="solid">
        <fgColor theme="0"/>
        <bgColor theme="0"/>
      </patternFill>
    </fill>
    <fill>
      <patternFill patternType="solid">
        <fgColor theme="9" tint="0.79998168889431442"/>
        <bgColor rgb="FFFFFFFF"/>
      </patternFill>
    </fill>
    <fill>
      <patternFill patternType="solid">
        <fgColor theme="9" tint="0.79998168889431442"/>
        <bgColor indexed="64"/>
      </patternFill>
    </fill>
    <fill>
      <patternFill patternType="solid">
        <fgColor theme="0"/>
        <bgColor rgb="FFFFFF00"/>
      </patternFill>
    </fill>
    <fill>
      <patternFill patternType="solid">
        <fgColor theme="7" tint="0.79998168889431442"/>
        <bgColor rgb="FFFFFF00"/>
      </patternFill>
    </fill>
    <fill>
      <patternFill patternType="solid">
        <fgColor theme="7" tint="0.79998168889431442"/>
        <bgColor rgb="FFE2EFDA"/>
      </patternFill>
    </fill>
    <fill>
      <patternFill patternType="solid">
        <fgColor theme="7" tint="0.79998168889431442"/>
        <bgColor indexed="64"/>
      </patternFill>
    </fill>
    <fill>
      <patternFill patternType="solid">
        <fgColor theme="0"/>
        <bgColor rgb="FFFFFFFF"/>
      </patternFill>
    </fill>
    <fill>
      <patternFill patternType="solid">
        <fgColor theme="0"/>
        <bgColor indexed="64"/>
      </patternFill>
    </fill>
    <fill>
      <patternFill patternType="solid">
        <fgColor theme="5" tint="0.79998168889431442"/>
        <bgColor rgb="FFE2EFDA"/>
      </patternFill>
    </fill>
    <fill>
      <patternFill patternType="solid">
        <fgColor theme="5" tint="0.79998168889431442"/>
        <bgColor rgb="FFFFFFFF"/>
      </patternFill>
    </fill>
  </fills>
  <borders count="3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s>
  <cellStyleXfs count="1">
    <xf numFmtId="0" fontId="0" fillId="0" borderId="0"/>
  </cellStyleXfs>
  <cellXfs count="108">
    <xf numFmtId="0" fontId="0" fillId="0" borderId="0" xfId="0"/>
    <xf numFmtId="0" fontId="3" fillId="0" borderId="0" xfId="0" applyFont="1"/>
    <xf numFmtId="0" fontId="3" fillId="2" borderId="1" xfId="0" quotePrefix="1" applyFont="1" applyFill="1" applyBorder="1" applyAlignment="1">
      <alignment horizontal="center"/>
    </xf>
    <xf numFmtId="0" fontId="3" fillId="2" borderId="1" xfId="0" applyFont="1" applyFill="1" applyBorder="1" applyAlignment="1">
      <alignment horizontal="center"/>
    </xf>
    <xf numFmtId="0" fontId="4" fillId="0" borderId="0" xfId="0" applyFont="1"/>
    <xf numFmtId="0" fontId="5" fillId="0" borderId="0" xfId="0" applyFont="1" applyAlignment="1">
      <alignment horizontal="center"/>
    </xf>
    <xf numFmtId="1" fontId="3" fillId="3" borderId="4" xfId="0" applyNumberFormat="1" applyFont="1" applyFill="1" applyBorder="1" applyAlignment="1">
      <alignment vertical="center" wrapText="1"/>
    </xf>
    <xf numFmtId="0" fontId="3" fillId="3" borderId="4" xfId="0" applyFont="1" applyFill="1" applyBorder="1" applyAlignment="1">
      <alignment vertical="center" wrapText="1"/>
    </xf>
    <xf numFmtId="0" fontId="3" fillId="3" borderId="4" xfId="0" applyFont="1" applyFill="1" applyBorder="1" applyAlignment="1">
      <alignment vertical="top" wrapText="1"/>
    </xf>
    <xf numFmtId="0" fontId="3" fillId="4" borderId="5" xfId="0" applyFont="1" applyFill="1" applyBorder="1"/>
    <xf numFmtId="0" fontId="3" fillId="2" borderId="5" xfId="0" applyFont="1" applyFill="1" applyBorder="1"/>
    <xf numFmtId="0" fontId="3" fillId="4" borderId="6" xfId="0" applyFont="1" applyFill="1" applyBorder="1"/>
    <xf numFmtId="0" fontId="3" fillId="4" borderId="7" xfId="0" applyFont="1" applyFill="1" applyBorder="1"/>
    <xf numFmtId="0" fontId="3" fillId="4" borderId="8" xfId="0" applyFont="1" applyFill="1" applyBorder="1"/>
    <xf numFmtId="0" fontId="3" fillId="4" borderId="9" xfId="0" applyFont="1" applyFill="1" applyBorder="1"/>
    <xf numFmtId="0" fontId="3" fillId="4" borderId="10" xfId="0" applyFont="1" applyFill="1" applyBorder="1"/>
    <xf numFmtId="0" fontId="7" fillId="3" borderId="4" xfId="0" applyFont="1" applyFill="1" applyBorder="1" applyAlignment="1">
      <alignment vertical="center" wrapText="1"/>
    </xf>
    <xf numFmtId="0" fontId="3" fillId="4" borderId="19" xfId="0" applyFont="1" applyFill="1" applyBorder="1"/>
    <xf numFmtId="0" fontId="3" fillId="4" borderId="20" xfId="0" applyFont="1" applyFill="1" applyBorder="1"/>
    <xf numFmtId="0" fontId="3" fillId="4" borderId="21" xfId="0" applyFont="1" applyFill="1" applyBorder="1"/>
    <xf numFmtId="0" fontId="3" fillId="4" borderId="5" xfId="0" applyFont="1" applyFill="1" applyBorder="1" applyAlignment="1">
      <alignment horizontal="center"/>
    </xf>
    <xf numFmtId="0" fontId="9" fillId="4" borderId="5" xfId="0" applyFont="1" applyFill="1" applyBorder="1"/>
    <xf numFmtId="0" fontId="3" fillId="4" borderId="4" xfId="0" applyFont="1" applyFill="1" applyBorder="1" applyAlignment="1">
      <alignment horizontal="center" vertical="center"/>
    </xf>
    <xf numFmtId="0" fontId="3" fillId="4" borderId="5" xfId="0" applyFont="1" applyFill="1" applyBorder="1" applyAlignment="1">
      <alignment vertical="center"/>
    </xf>
    <xf numFmtId="0" fontId="3" fillId="4" borderId="5" xfId="0" applyFont="1" applyFill="1" applyBorder="1" applyAlignment="1">
      <alignment horizontal="center" vertical="center"/>
    </xf>
    <xf numFmtId="0" fontId="3" fillId="4" borderId="1" xfId="0" applyFont="1" applyFill="1" applyBorder="1"/>
    <xf numFmtId="0" fontId="3" fillId="4" borderId="4" xfId="0" applyFont="1" applyFill="1" applyBorder="1"/>
    <xf numFmtId="0" fontId="3" fillId="2" borderId="1" xfId="0" applyFont="1" applyFill="1" applyBorder="1" applyAlignment="1">
      <alignment horizontal="center" vertical="center" wrapText="1"/>
    </xf>
    <xf numFmtId="0" fontId="7" fillId="3" borderId="4" xfId="0" applyFont="1" applyFill="1" applyBorder="1" applyAlignment="1">
      <alignment horizontal="center" vertical="center" wrapText="1"/>
    </xf>
    <xf numFmtId="1" fontId="3" fillId="3" borderId="4" xfId="0" applyNumberFormat="1" applyFont="1" applyFill="1" applyBorder="1" applyAlignment="1">
      <alignment horizontal="center" vertical="center" wrapText="1"/>
    </xf>
    <xf numFmtId="0" fontId="0" fillId="0" borderId="0" xfId="0" applyAlignment="1">
      <alignment horizontal="center" vertical="center" wrapText="1"/>
    </xf>
    <xf numFmtId="0" fontId="3" fillId="0" borderId="2" xfId="0" applyFont="1" applyBorder="1" applyAlignment="1">
      <alignment horizontal="center"/>
    </xf>
    <xf numFmtId="0" fontId="3" fillId="3" borderId="4" xfId="0" applyFont="1" applyFill="1" applyBorder="1" applyAlignment="1">
      <alignment horizontal="center" vertical="center" wrapText="1"/>
    </xf>
    <xf numFmtId="0" fontId="0" fillId="0" borderId="0" xfId="0" applyAlignment="1">
      <alignment horizontal="center"/>
    </xf>
    <xf numFmtId="0" fontId="6" fillId="3" borderId="4" xfId="0" applyFont="1" applyFill="1" applyBorder="1" applyAlignment="1">
      <alignment horizontal="center" vertical="center" wrapText="1"/>
    </xf>
    <xf numFmtId="0" fontId="3" fillId="2" borderId="2" xfId="0" applyFont="1" applyFill="1" applyBorder="1" applyAlignment="1">
      <alignment horizontal="center"/>
    </xf>
    <xf numFmtId="0" fontId="3" fillId="5" borderId="4" xfId="0" applyFont="1" applyFill="1" applyBorder="1" applyAlignment="1">
      <alignment horizontal="center" vertical="center"/>
    </xf>
    <xf numFmtId="0" fontId="0" fillId="6" borderId="0" xfId="0" applyFill="1" applyAlignment="1">
      <alignment horizontal="center" vertical="center"/>
    </xf>
    <xf numFmtId="0" fontId="3" fillId="7" borderId="4" xfId="0" applyFont="1" applyFill="1" applyBorder="1" applyAlignment="1">
      <alignment horizontal="center" vertical="center"/>
    </xf>
    <xf numFmtId="0" fontId="3" fillId="2" borderId="18" xfId="0" applyFont="1" applyFill="1" applyBorder="1"/>
    <xf numFmtId="0" fontId="16" fillId="4" borderId="4" xfId="0" applyFont="1" applyFill="1" applyBorder="1" applyAlignment="1">
      <alignment vertical="center"/>
    </xf>
    <xf numFmtId="0" fontId="16" fillId="4" borderId="4" xfId="0" applyFont="1" applyFill="1" applyBorder="1" applyAlignment="1">
      <alignment horizontal="center" vertical="center"/>
    </xf>
    <xf numFmtId="0" fontId="17" fillId="4" borderId="4" xfId="0" applyFont="1" applyFill="1" applyBorder="1" applyAlignment="1">
      <alignment vertical="center"/>
    </xf>
    <xf numFmtId="0" fontId="17" fillId="4" borderId="4" xfId="0" applyFont="1" applyFill="1" applyBorder="1" applyAlignment="1">
      <alignment horizontal="center" vertical="center"/>
    </xf>
    <xf numFmtId="0" fontId="3" fillId="8" borderId="1" xfId="0" applyFont="1" applyFill="1" applyBorder="1" applyAlignment="1">
      <alignment horizontal="center" wrapText="1"/>
    </xf>
    <xf numFmtId="0" fontId="3" fillId="9" borderId="4" xfId="0" applyFont="1" applyFill="1" applyBorder="1" applyAlignment="1">
      <alignment vertical="center" wrapText="1"/>
    </xf>
    <xf numFmtId="0" fontId="7" fillId="9" borderId="4" xfId="0" applyFont="1" applyFill="1" applyBorder="1" applyAlignment="1">
      <alignment vertical="center" wrapText="1"/>
    </xf>
    <xf numFmtId="0" fontId="0" fillId="10" borderId="0" xfId="0" applyFill="1" applyAlignment="1">
      <alignment wrapText="1"/>
    </xf>
    <xf numFmtId="0" fontId="3" fillId="8" borderId="1" xfId="0" applyFont="1" applyFill="1" applyBorder="1" applyAlignment="1">
      <alignment horizontal="center"/>
    </xf>
    <xf numFmtId="0" fontId="3" fillId="9" borderId="4" xfId="0" applyFont="1" applyFill="1" applyBorder="1" applyAlignment="1">
      <alignment horizontal="center" vertical="center" wrapText="1"/>
    </xf>
    <xf numFmtId="0" fontId="0" fillId="10" borderId="0" xfId="0" applyFill="1" applyAlignment="1">
      <alignment horizontal="center"/>
    </xf>
    <xf numFmtId="0" fontId="3" fillId="8" borderId="1" xfId="0" applyFont="1" applyFill="1" applyBorder="1" applyAlignment="1">
      <alignment horizontal="center" vertical="center" wrapText="1"/>
    </xf>
    <xf numFmtId="0" fontId="3" fillId="8" borderId="3" xfId="0" applyFont="1" applyFill="1" applyBorder="1" applyAlignment="1">
      <alignment horizontal="center"/>
    </xf>
    <xf numFmtId="0" fontId="7" fillId="9" borderId="4" xfId="0" applyFont="1" applyFill="1" applyBorder="1" applyAlignment="1">
      <alignment horizontal="center" vertical="center" wrapText="1"/>
    </xf>
    <xf numFmtId="0" fontId="0" fillId="10" borderId="0" xfId="0" applyFill="1" applyAlignment="1">
      <alignment horizontal="center" vertical="center" wrapText="1"/>
    </xf>
    <xf numFmtId="0" fontId="0" fillId="10" borderId="0" xfId="0" applyFill="1"/>
    <xf numFmtId="0" fontId="13" fillId="4" borderId="11" xfId="0" applyFont="1" applyFill="1" applyBorder="1" applyAlignment="1">
      <alignment horizontal="center" vertical="center" wrapText="1"/>
    </xf>
    <xf numFmtId="0" fontId="14" fillId="0" borderId="12" xfId="0" applyFont="1" applyBorder="1"/>
    <xf numFmtId="0" fontId="14" fillId="0" borderId="13" xfId="0" applyFont="1" applyBorder="1"/>
    <xf numFmtId="0" fontId="14" fillId="0" borderId="14" xfId="0" applyFont="1" applyBorder="1"/>
    <xf numFmtId="0" fontId="5" fillId="0" borderId="0" xfId="0" applyFont="1"/>
    <xf numFmtId="0" fontId="14" fillId="0" borderId="15" xfId="0" applyFont="1" applyBorder="1"/>
    <xf numFmtId="0" fontId="14" fillId="0" borderId="16" xfId="0" applyFont="1" applyBorder="1"/>
    <xf numFmtId="0" fontId="14" fillId="0" borderId="17" xfId="0" applyFont="1" applyBorder="1"/>
    <xf numFmtId="0" fontId="14" fillId="0" borderId="18" xfId="0" applyFont="1" applyBorder="1"/>
    <xf numFmtId="0" fontId="2" fillId="4" borderId="11" xfId="0" applyFont="1" applyFill="1" applyBorder="1" applyAlignment="1">
      <alignment horizontal="left" vertical="top" wrapText="1"/>
    </xf>
    <xf numFmtId="0" fontId="15" fillId="0" borderId="12" xfId="0" applyFont="1" applyBorder="1"/>
    <xf numFmtId="0" fontId="15" fillId="0" borderId="13" xfId="0" applyFont="1" applyBorder="1"/>
    <xf numFmtId="0" fontId="15" fillId="0" borderId="14" xfId="0" applyFont="1" applyBorder="1"/>
    <xf numFmtId="0" fontId="2" fillId="0" borderId="0" xfId="0" applyFont="1"/>
    <xf numFmtId="0" fontId="15" fillId="0" borderId="15" xfId="0" applyFont="1" applyBorder="1"/>
    <xf numFmtId="0" fontId="15" fillId="0" borderId="16" xfId="0" applyFont="1" applyBorder="1"/>
    <xf numFmtId="0" fontId="15" fillId="0" borderId="17" xfId="0" applyFont="1" applyBorder="1"/>
    <xf numFmtId="0" fontId="15" fillId="0" borderId="18" xfId="0" applyFont="1" applyBorder="1"/>
    <xf numFmtId="0" fontId="6" fillId="4" borderId="2" xfId="0" applyFont="1" applyFill="1" applyBorder="1" applyAlignment="1">
      <alignment horizontal="center" vertical="center"/>
    </xf>
    <xf numFmtId="0" fontId="6" fillId="0" borderId="22" xfId="0" applyFont="1" applyBorder="1"/>
    <xf numFmtId="0" fontId="6" fillId="0" borderId="23" xfId="0" applyFont="1" applyBorder="1"/>
    <xf numFmtId="0" fontId="6" fillId="4" borderId="24" xfId="0" applyFont="1" applyFill="1" applyBorder="1" applyAlignment="1">
      <alignment vertical="center"/>
    </xf>
    <xf numFmtId="0" fontId="14" fillId="0" borderId="25" xfId="0" applyFont="1" applyBorder="1"/>
    <xf numFmtId="164" fontId="18" fillId="4" borderId="26" xfId="0" applyNumberFormat="1" applyFont="1" applyFill="1" applyBorder="1" applyAlignment="1">
      <alignment horizontal="center" vertical="center"/>
    </xf>
    <xf numFmtId="0" fontId="14" fillId="0" borderId="27" xfId="0" applyFont="1" applyBorder="1"/>
    <xf numFmtId="0" fontId="14" fillId="0" borderId="28" xfId="0" applyFont="1" applyBorder="1"/>
    <xf numFmtId="0" fontId="14" fillId="0" borderId="29" xfId="0" applyFont="1" applyBorder="1"/>
    <xf numFmtId="9" fontId="10" fillId="4" borderId="2" xfId="0" applyNumberFormat="1" applyFont="1" applyFill="1" applyBorder="1" applyAlignment="1">
      <alignment horizontal="center" vertical="center"/>
    </xf>
    <xf numFmtId="0" fontId="8" fillId="0" borderId="23" xfId="0" applyFont="1" applyBorder="1"/>
    <xf numFmtId="0" fontId="3" fillId="4" borderId="11" xfId="0" applyFont="1" applyFill="1" applyBorder="1" applyAlignment="1">
      <alignment horizontal="center" vertical="center"/>
    </xf>
    <xf numFmtId="0" fontId="8" fillId="0" borderId="13" xfId="0" applyFont="1" applyBorder="1"/>
    <xf numFmtId="0" fontId="8" fillId="0" borderId="16" xfId="0" applyFont="1" applyBorder="1"/>
    <xf numFmtId="0" fontId="8" fillId="0" borderId="18" xfId="0" applyFont="1" applyBorder="1"/>
    <xf numFmtId="0" fontId="12" fillId="4" borderId="26" xfId="0" applyFont="1" applyFill="1" applyBorder="1" applyAlignment="1">
      <alignment horizontal="center" vertical="center" wrapText="1"/>
    </xf>
    <xf numFmtId="0" fontId="12" fillId="0" borderId="30" xfId="0" applyFont="1" applyBorder="1"/>
    <xf numFmtId="0" fontId="12" fillId="0" borderId="27" xfId="0" applyFont="1" applyBorder="1"/>
    <xf numFmtId="0" fontId="12" fillId="0" borderId="31" xfId="0" applyFont="1" applyBorder="1"/>
    <xf numFmtId="0" fontId="12" fillId="0" borderId="0" xfId="0" applyFont="1"/>
    <xf numFmtId="0" fontId="12" fillId="0" borderId="32" xfId="0" applyFont="1" applyBorder="1"/>
    <xf numFmtId="0" fontId="12" fillId="0" borderId="28" xfId="0" applyFont="1" applyBorder="1"/>
    <xf numFmtId="0" fontId="12" fillId="0" borderId="33" xfId="0" applyFont="1" applyBorder="1"/>
    <xf numFmtId="0" fontId="12" fillId="0" borderId="29" xfId="0" applyFont="1" applyBorder="1"/>
    <xf numFmtId="0" fontId="3" fillId="4" borderId="24" xfId="0" applyFont="1" applyFill="1" applyBorder="1"/>
    <xf numFmtId="0" fontId="8" fillId="0" borderId="25" xfId="0" applyFont="1" applyBorder="1"/>
    <xf numFmtId="0" fontId="0" fillId="12" borderId="0" xfId="0" applyFill="1"/>
    <xf numFmtId="0" fontId="3" fillId="11" borderId="18" xfId="0" applyFont="1" applyFill="1" applyBorder="1"/>
    <xf numFmtId="1" fontId="3" fillId="13" borderId="4" xfId="0" applyNumberFormat="1" applyFont="1" applyFill="1" applyBorder="1" applyAlignment="1">
      <alignment vertical="center" wrapText="1"/>
    </xf>
    <xf numFmtId="0" fontId="6" fillId="13" borderId="4" xfId="0" applyFont="1" applyFill="1" applyBorder="1" applyAlignment="1">
      <alignment horizontal="center" vertical="center" wrapText="1"/>
    </xf>
    <xf numFmtId="0" fontId="7" fillId="13" borderId="4" xfId="0" applyFont="1" applyFill="1" applyBorder="1" applyAlignment="1">
      <alignment horizontal="center" vertical="center" wrapText="1"/>
    </xf>
    <xf numFmtId="0" fontId="3" fillId="13" borderId="4" xfId="0" applyFont="1" applyFill="1" applyBorder="1" applyAlignment="1">
      <alignment vertical="center" wrapText="1"/>
    </xf>
    <xf numFmtId="0" fontId="3" fillId="13" borderId="4" xfId="0" applyFont="1" applyFill="1" applyBorder="1" applyAlignment="1">
      <alignment horizontal="center" vertical="center" wrapText="1"/>
    </xf>
    <xf numFmtId="0" fontId="3" fillId="14"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sz="1400" b="1" i="0">
                <a:solidFill>
                  <a:schemeClr val="tx1"/>
                </a:solidFill>
                <a:latin typeface="+mn-lt"/>
              </a:defRPr>
            </a:pPr>
            <a:r>
              <a:rPr lang="es-CL" sz="1400" b="1" i="0">
                <a:solidFill>
                  <a:schemeClr val="tx1"/>
                </a:solidFill>
                <a:latin typeface="+mn-lt"/>
              </a:rPr>
              <a:t>Avance del proceso de ejecución</a:t>
            </a:r>
          </a:p>
        </c:rich>
      </c:tx>
      <c:overlay val="0"/>
    </c:title>
    <c:autoTitleDeleted val="0"/>
    <c:plotArea>
      <c:layout>
        <c:manualLayout>
          <c:layoutTarget val="inner"/>
          <c:xMode val="edge"/>
          <c:yMode val="edge"/>
          <c:x val="0.2011783727034121"/>
          <c:y val="0.20159064327485385"/>
          <c:w val="0.70374001263087149"/>
          <c:h val="0.61874476216788687"/>
        </c:manualLayout>
      </c:layout>
      <c:barChart>
        <c:barDir val="bar"/>
        <c:grouping val="clustered"/>
        <c:varyColors val="1"/>
        <c:ser>
          <c:idx val="0"/>
          <c:order val="0"/>
          <c:spPr>
            <a:solidFill>
              <a:srgbClr val="4472C4"/>
            </a:solidFill>
            <a:ln cmpd="sng">
              <a:noFill/>
            </a:ln>
          </c:spPr>
          <c:invertIfNegative val="0"/>
          <c:cat>
            <c:strRef>
              <c:f>Control!$C$6:$C$10</c:f>
              <c:strCache>
                <c:ptCount val="5"/>
                <c:pt idx="0">
                  <c:v>OK</c:v>
                </c:pt>
                <c:pt idx="1">
                  <c:v>NOK</c:v>
                </c:pt>
                <c:pt idx="2">
                  <c:v>No ejecutado</c:v>
                </c:pt>
                <c:pt idx="3">
                  <c:v>Bloqueado</c:v>
                </c:pt>
                <c:pt idx="4">
                  <c:v>Obsoleto</c:v>
                </c:pt>
              </c:strCache>
            </c:strRef>
          </c:cat>
          <c:val>
            <c:numRef>
              <c:f>Control!$D$6:$D$10</c:f>
              <c:numCache>
                <c:formatCode>General</c:formatCode>
                <c:ptCount val="5"/>
                <c:pt idx="0">
                  <c:v>17</c:v>
                </c:pt>
                <c:pt idx="1">
                  <c:v>0</c:v>
                </c:pt>
                <c:pt idx="2">
                  <c:v>29</c:v>
                </c:pt>
                <c:pt idx="3">
                  <c:v>0</c:v>
                </c:pt>
                <c:pt idx="4">
                  <c:v>0</c:v>
                </c:pt>
              </c:numCache>
            </c:numRef>
          </c:val>
          <c:extLst>
            <c:ext xmlns:c16="http://schemas.microsoft.com/office/drawing/2014/chart" uri="{C3380CC4-5D6E-409C-BE32-E72D297353CC}">
              <c16:uniqueId val="{00000000-B969-7F41-9A19-884C5CAB8692}"/>
            </c:ext>
          </c:extLst>
        </c:ser>
        <c:dLbls>
          <c:showLegendKey val="0"/>
          <c:showVal val="0"/>
          <c:showCatName val="0"/>
          <c:showSerName val="0"/>
          <c:showPercent val="0"/>
          <c:showBubbleSize val="0"/>
        </c:dLbls>
        <c:gapWidth val="150"/>
        <c:axId val="907381876"/>
        <c:axId val="212391544"/>
      </c:barChart>
      <c:catAx>
        <c:axId val="907381876"/>
        <c:scaling>
          <c:orientation val="maxMin"/>
        </c:scaling>
        <c:delete val="0"/>
        <c:axPos val="l"/>
        <c:title>
          <c:tx>
            <c:rich>
              <a:bodyPr/>
              <a:lstStyle/>
              <a:p>
                <a:pPr lvl="0">
                  <a:defRPr b="0">
                    <a:solidFill>
                      <a:srgbClr val="000000"/>
                    </a:solidFill>
                    <a:latin typeface="+mn-lt"/>
                  </a:defRPr>
                </a:pPr>
                <a:endParaRPr lang="es-CL"/>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s-CL"/>
          </a:p>
        </c:txPr>
        <c:crossAx val="212391544"/>
        <c:crosses val="autoZero"/>
        <c:auto val="1"/>
        <c:lblAlgn val="ctr"/>
        <c:lblOffset val="100"/>
        <c:noMultiLvlLbl val="1"/>
      </c:catAx>
      <c:valAx>
        <c:axId val="21239154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s-CL"/>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s-CL"/>
          </a:p>
        </c:txPr>
        <c:crossAx val="907381876"/>
        <c:crosses val="max"/>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sz="1400" b="1" i="0">
                <a:solidFill>
                  <a:schemeClr val="tx1"/>
                </a:solidFill>
                <a:latin typeface="+mn-lt"/>
              </a:defRPr>
            </a:pPr>
            <a:r>
              <a:rPr lang="es-CL" sz="1400" b="1" i="0">
                <a:solidFill>
                  <a:schemeClr val="tx1"/>
                </a:solidFill>
                <a:latin typeface="+mn-lt"/>
              </a:rPr>
              <a:t>Total casos que ejecuto cada integrante del equipo</a:t>
            </a:r>
          </a:p>
        </c:rich>
      </c:tx>
      <c:overlay val="0"/>
    </c:title>
    <c:autoTitleDeleted val="0"/>
    <c:plotArea>
      <c:layout/>
      <c:barChart>
        <c:barDir val="col"/>
        <c:grouping val="clustered"/>
        <c:varyColors val="1"/>
        <c:ser>
          <c:idx val="0"/>
          <c:order val="0"/>
          <c:spPr>
            <a:solidFill>
              <a:srgbClr val="4472C4"/>
            </a:solidFill>
            <a:ln cmpd="sng">
              <a:noFill/>
            </a:ln>
          </c:spPr>
          <c:invertIfNegative val="0"/>
          <c:dPt>
            <c:idx val="0"/>
            <c:invertIfNegative val="1"/>
            <c:bubble3D val="0"/>
            <c:spPr>
              <a:solidFill>
                <a:srgbClr val="F6B26B"/>
              </a:solidFill>
              <a:ln cmpd="sng">
                <a:noFill/>
              </a:ln>
            </c:spPr>
            <c:extLst>
              <c:ext xmlns:c16="http://schemas.microsoft.com/office/drawing/2014/chart" uri="{C3380CC4-5D6E-409C-BE32-E72D297353CC}">
                <c16:uniqueId val="{00000001-3B98-524D-8A02-E32209546A46}"/>
              </c:ext>
            </c:extLst>
          </c:dPt>
          <c:dPt>
            <c:idx val="1"/>
            <c:invertIfNegative val="1"/>
            <c:bubble3D val="0"/>
            <c:spPr>
              <a:solidFill>
                <a:srgbClr val="FFD966"/>
              </a:solidFill>
              <a:ln cmpd="sng">
                <a:noFill/>
              </a:ln>
            </c:spPr>
            <c:extLst>
              <c:ext xmlns:c16="http://schemas.microsoft.com/office/drawing/2014/chart" uri="{C3380CC4-5D6E-409C-BE32-E72D297353CC}">
                <c16:uniqueId val="{00000003-3B98-524D-8A02-E32209546A46}"/>
              </c:ext>
            </c:extLst>
          </c:dPt>
          <c:dPt>
            <c:idx val="2"/>
            <c:invertIfNegative val="1"/>
            <c:bubble3D val="0"/>
            <c:spPr>
              <a:solidFill>
                <a:srgbClr val="93C47D"/>
              </a:solidFill>
              <a:ln cmpd="sng">
                <a:noFill/>
              </a:ln>
            </c:spPr>
            <c:extLst>
              <c:ext xmlns:c16="http://schemas.microsoft.com/office/drawing/2014/chart" uri="{C3380CC4-5D6E-409C-BE32-E72D297353CC}">
                <c16:uniqueId val="{00000005-3B98-524D-8A02-E32209546A46}"/>
              </c:ext>
            </c:extLst>
          </c:dPt>
          <c:dPt>
            <c:idx val="3"/>
            <c:invertIfNegative val="1"/>
            <c:bubble3D val="0"/>
            <c:spPr>
              <a:solidFill>
                <a:srgbClr val="76A5AF"/>
              </a:solidFill>
              <a:ln cmpd="sng">
                <a:noFill/>
              </a:ln>
            </c:spPr>
            <c:extLst>
              <c:ext xmlns:c16="http://schemas.microsoft.com/office/drawing/2014/chart" uri="{C3380CC4-5D6E-409C-BE32-E72D297353CC}">
                <c16:uniqueId val="{00000007-3B98-524D-8A02-E32209546A46}"/>
              </c:ext>
            </c:extLst>
          </c:dPt>
          <c:cat>
            <c:strRef>
              <c:f>Control!$E$21:$E$24</c:f>
              <c:strCache>
                <c:ptCount val="1"/>
                <c:pt idx="0">
                  <c:v>Cristina González</c:v>
                </c:pt>
              </c:strCache>
            </c:strRef>
          </c:cat>
          <c:val>
            <c:numRef>
              <c:f>Control!$F$21:$F$24</c:f>
              <c:numCache>
                <c:formatCode>General</c:formatCode>
                <c:ptCount val="4"/>
              </c:numCache>
            </c:numRef>
          </c:val>
          <c:extLst>
            <c:ext xmlns:c16="http://schemas.microsoft.com/office/drawing/2014/chart" uri="{C3380CC4-5D6E-409C-BE32-E72D297353CC}">
              <c16:uniqueId val="{00000008-3B98-524D-8A02-E32209546A46}"/>
            </c:ext>
          </c:extLst>
        </c:ser>
        <c:ser>
          <c:idx val="1"/>
          <c:order val="1"/>
          <c:spPr>
            <a:solidFill>
              <a:schemeClr val="accent1"/>
            </a:solidFill>
          </c:spPr>
          <c:invertIfNegative val="0"/>
          <c:cat>
            <c:strRef>
              <c:f>Control!$E$21:$E$24</c:f>
              <c:strCache>
                <c:ptCount val="1"/>
                <c:pt idx="0">
                  <c:v>Cristina González</c:v>
                </c:pt>
              </c:strCache>
            </c:strRef>
          </c:cat>
          <c:val>
            <c:numRef>
              <c:f>Control!$G$21:$G$24</c:f>
              <c:numCache>
                <c:formatCode>General</c:formatCode>
                <c:ptCount val="4"/>
                <c:pt idx="0">
                  <c:v>46</c:v>
                </c:pt>
                <c:pt idx="1">
                  <c:v>0</c:v>
                </c:pt>
                <c:pt idx="2">
                  <c:v>0</c:v>
                </c:pt>
              </c:numCache>
            </c:numRef>
          </c:val>
          <c:extLst>
            <c:ext xmlns:c16="http://schemas.microsoft.com/office/drawing/2014/chart" uri="{C3380CC4-5D6E-409C-BE32-E72D297353CC}">
              <c16:uniqueId val="{00000009-3B98-524D-8A02-E32209546A46}"/>
            </c:ext>
          </c:extLst>
        </c:ser>
        <c:dLbls>
          <c:showLegendKey val="0"/>
          <c:showVal val="0"/>
          <c:showCatName val="0"/>
          <c:showSerName val="0"/>
          <c:showPercent val="0"/>
          <c:showBubbleSize val="0"/>
        </c:dLbls>
        <c:gapWidth val="150"/>
        <c:axId val="94897233"/>
        <c:axId val="915473562"/>
      </c:barChart>
      <c:catAx>
        <c:axId val="94897233"/>
        <c:scaling>
          <c:orientation val="minMax"/>
        </c:scaling>
        <c:delete val="0"/>
        <c:axPos val="b"/>
        <c:title>
          <c:tx>
            <c:rich>
              <a:bodyPr/>
              <a:lstStyle/>
              <a:p>
                <a:pPr lvl="0">
                  <a:defRPr b="0">
                    <a:solidFill>
                      <a:srgbClr val="000000"/>
                    </a:solidFill>
                    <a:latin typeface="+mn-lt"/>
                  </a:defRPr>
                </a:pPr>
                <a:endParaRPr lang="es-CL"/>
              </a:p>
            </c:rich>
          </c:tx>
          <c:overlay val="0"/>
        </c:title>
        <c:numFmt formatCode="General" sourceLinked="1"/>
        <c:majorTickMark val="out"/>
        <c:minorTickMark val="none"/>
        <c:tickLblPos val="nextTo"/>
        <c:txPr>
          <a:bodyPr/>
          <a:lstStyle/>
          <a:p>
            <a:pPr lvl="0">
              <a:defRPr b="0" i="0">
                <a:solidFill>
                  <a:srgbClr val="000000"/>
                </a:solidFill>
                <a:latin typeface="+mn-lt"/>
              </a:defRPr>
            </a:pPr>
            <a:endParaRPr lang="es-CL"/>
          </a:p>
        </c:txPr>
        <c:crossAx val="915473562"/>
        <c:crosses val="autoZero"/>
        <c:auto val="1"/>
        <c:lblAlgn val="ctr"/>
        <c:lblOffset val="100"/>
        <c:noMultiLvlLbl val="1"/>
      </c:catAx>
      <c:valAx>
        <c:axId val="9154735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L"/>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endParaRPr lang="es-CL"/>
          </a:p>
        </c:txPr>
        <c:crossAx val="94897233"/>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787400</xdr:colOff>
      <xdr:row>1</xdr:row>
      <xdr:rowOff>168275</xdr:rowOff>
    </xdr:from>
    <xdr:ext cx="4762500" cy="2714625"/>
    <xdr:graphicFrame macro="">
      <xdr:nvGraphicFramePr>
        <xdr:cNvPr id="332412032" name="Chart 1" title="Gráfico">
          <a:extLst>
            <a:ext uri="{FF2B5EF4-FFF2-40B4-BE49-F238E27FC236}">
              <a16:creationId xmlns:a16="http://schemas.microsoft.com/office/drawing/2014/main" id="{00000000-0008-0000-0200-00008034D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25400</xdr:colOff>
      <xdr:row>18</xdr:row>
      <xdr:rowOff>44450</xdr:rowOff>
    </xdr:from>
    <xdr:ext cx="4787900" cy="2762250"/>
    <xdr:graphicFrame macro="">
      <xdr:nvGraphicFramePr>
        <xdr:cNvPr id="113761638" name="Chart 2" title="Gráfico">
          <a:extLst>
            <a:ext uri="{FF2B5EF4-FFF2-40B4-BE49-F238E27FC236}">
              <a16:creationId xmlns:a16="http://schemas.microsoft.com/office/drawing/2014/main" id="{00000000-0008-0000-0200-000066DDC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E35" sqref="E35:I39"/>
    </sheetView>
  </sheetViews>
  <sheetFormatPr baseColWidth="10" defaultColWidth="14.5" defaultRowHeight="15" customHeight="1" x14ac:dyDescent="0.2"/>
  <cols>
    <col min="1" max="3" width="3.33203125" customWidth="1"/>
    <col min="4" max="10" width="9.5" customWidth="1"/>
    <col min="11" max="12" width="3.33203125" customWidth="1"/>
    <col min="13" max="25" width="10.6640625" customWidth="1"/>
  </cols>
  <sheetData>
    <row r="1" spans="1:26" ht="14.25" customHeight="1" x14ac:dyDescent="0.2">
      <c r="A1" s="9">
        <v>1</v>
      </c>
      <c r="B1" s="9"/>
      <c r="C1" s="9"/>
      <c r="D1" s="9"/>
      <c r="E1" s="9"/>
      <c r="F1" s="9"/>
      <c r="G1" s="9"/>
      <c r="H1" s="9"/>
      <c r="I1" s="9"/>
      <c r="J1" s="9"/>
      <c r="K1" s="9"/>
      <c r="L1" s="9"/>
      <c r="M1" s="9"/>
      <c r="N1" s="9"/>
      <c r="O1" s="9"/>
      <c r="P1" s="9"/>
      <c r="Q1" s="9"/>
      <c r="R1" s="9"/>
      <c r="S1" s="9"/>
      <c r="T1" s="9"/>
      <c r="U1" s="9"/>
      <c r="V1" s="9"/>
      <c r="W1" s="9"/>
      <c r="X1" s="9"/>
      <c r="Y1" s="9"/>
      <c r="Z1" s="9"/>
    </row>
    <row r="2" spans="1:26" ht="14.25" customHeight="1" x14ac:dyDescent="0.2">
      <c r="A2" s="9"/>
      <c r="B2" s="11"/>
      <c r="C2" s="12"/>
      <c r="D2" s="12"/>
      <c r="E2" s="12"/>
      <c r="F2" s="12"/>
      <c r="G2" s="12"/>
      <c r="H2" s="12"/>
      <c r="I2" s="12"/>
      <c r="J2" s="12"/>
      <c r="K2" s="12"/>
      <c r="L2" s="13"/>
      <c r="M2" s="9"/>
      <c r="N2" s="9"/>
      <c r="O2" s="9"/>
      <c r="P2" s="9"/>
      <c r="Q2" s="9"/>
      <c r="R2" s="9"/>
      <c r="S2" s="9"/>
      <c r="T2" s="9"/>
      <c r="U2" s="9"/>
      <c r="V2" s="9"/>
      <c r="W2" s="9"/>
      <c r="X2" s="9"/>
      <c r="Y2" s="9"/>
      <c r="Z2" s="9"/>
    </row>
    <row r="3" spans="1:26" ht="14.25" customHeight="1" x14ac:dyDescent="0.2">
      <c r="A3" s="9"/>
      <c r="B3" s="14"/>
      <c r="C3" s="11"/>
      <c r="D3" s="12"/>
      <c r="E3" s="12"/>
      <c r="F3" s="12"/>
      <c r="G3" s="12"/>
      <c r="H3" s="12"/>
      <c r="I3" s="12"/>
      <c r="J3" s="12"/>
      <c r="K3" s="13"/>
      <c r="L3" s="15"/>
      <c r="M3" s="9"/>
      <c r="N3" s="9"/>
      <c r="O3" s="9"/>
      <c r="P3" s="9"/>
      <c r="Q3" s="9"/>
      <c r="R3" s="9"/>
      <c r="S3" s="9"/>
      <c r="T3" s="9"/>
      <c r="U3" s="9"/>
      <c r="V3" s="9"/>
      <c r="W3" s="9"/>
      <c r="X3" s="9"/>
      <c r="Y3" s="9"/>
      <c r="Z3" s="9"/>
    </row>
    <row r="4" spans="1:26" ht="14.25" customHeight="1" x14ac:dyDescent="0.2">
      <c r="A4" s="9"/>
      <c r="B4" s="14"/>
      <c r="C4" s="14"/>
      <c r="D4" s="9"/>
      <c r="E4" s="9"/>
      <c r="F4" s="9"/>
      <c r="G4" s="9"/>
      <c r="H4" s="9"/>
      <c r="I4" s="9"/>
      <c r="J4" s="9"/>
      <c r="K4" s="15"/>
      <c r="L4" s="15"/>
      <c r="M4" s="9"/>
      <c r="N4" s="9"/>
      <c r="O4" s="9"/>
      <c r="P4" s="9"/>
      <c r="Q4" s="9"/>
      <c r="R4" s="9"/>
      <c r="S4" s="9"/>
      <c r="T4" s="9"/>
      <c r="U4" s="9"/>
      <c r="V4" s="9"/>
      <c r="W4" s="9"/>
      <c r="X4" s="9"/>
      <c r="Y4" s="9"/>
      <c r="Z4" s="9"/>
    </row>
    <row r="5" spans="1:26" ht="14.25" customHeight="1" x14ac:dyDescent="0.2">
      <c r="A5" s="9"/>
      <c r="B5" s="14"/>
      <c r="C5" s="14"/>
      <c r="D5" s="9"/>
      <c r="E5" s="9"/>
      <c r="F5" s="9"/>
      <c r="G5" s="9"/>
      <c r="H5" s="9"/>
      <c r="I5" s="9"/>
      <c r="J5" s="9"/>
      <c r="K5" s="15"/>
      <c r="L5" s="15"/>
      <c r="M5" s="9"/>
      <c r="N5" s="9"/>
      <c r="O5" s="9"/>
      <c r="P5" s="9"/>
      <c r="Q5" s="9"/>
      <c r="R5" s="9"/>
      <c r="S5" s="9"/>
      <c r="T5" s="9"/>
      <c r="U5" s="9"/>
      <c r="V5" s="9"/>
      <c r="W5" s="9"/>
      <c r="X5" s="9"/>
      <c r="Y5" s="9"/>
      <c r="Z5" s="9"/>
    </row>
    <row r="6" spans="1:26" ht="14.25" customHeight="1" x14ac:dyDescent="0.2">
      <c r="A6" s="9"/>
      <c r="B6" s="14"/>
      <c r="C6" s="14"/>
      <c r="D6" s="9"/>
      <c r="J6" s="9"/>
      <c r="K6" s="15"/>
      <c r="L6" s="15"/>
      <c r="M6" s="9"/>
      <c r="N6" s="9"/>
      <c r="O6" s="9"/>
      <c r="P6" s="9"/>
      <c r="Q6" s="9"/>
      <c r="R6" s="9"/>
      <c r="S6" s="9"/>
      <c r="T6" s="9"/>
      <c r="U6" s="9"/>
      <c r="V6" s="9"/>
      <c r="W6" s="9"/>
      <c r="X6" s="9"/>
      <c r="Y6" s="9"/>
      <c r="Z6" s="9"/>
    </row>
    <row r="7" spans="1:26" ht="14.25" customHeight="1" x14ac:dyDescent="0.2">
      <c r="A7" s="9"/>
      <c r="B7" s="14"/>
      <c r="C7" s="14"/>
      <c r="D7" s="9"/>
      <c r="J7" s="9"/>
      <c r="K7" s="15"/>
      <c r="L7" s="15"/>
      <c r="M7" s="9"/>
      <c r="N7" s="9"/>
      <c r="O7" s="9"/>
      <c r="P7" s="9"/>
      <c r="Q7" s="9"/>
      <c r="R7" s="9"/>
      <c r="S7" s="9"/>
      <c r="T7" s="9"/>
      <c r="U7" s="9"/>
      <c r="V7" s="9"/>
      <c r="W7" s="9"/>
      <c r="X7" s="9"/>
      <c r="Y7" s="9"/>
      <c r="Z7" s="9"/>
    </row>
    <row r="8" spans="1:26" ht="14.25" customHeight="1" x14ac:dyDescent="0.2">
      <c r="A8" s="9"/>
      <c r="B8" s="14"/>
      <c r="C8" s="14"/>
      <c r="D8" s="9"/>
      <c r="J8" s="9"/>
      <c r="K8" s="15"/>
      <c r="L8" s="15"/>
      <c r="M8" s="9"/>
      <c r="N8" s="9"/>
      <c r="O8" s="9"/>
      <c r="P8" s="9"/>
      <c r="Q8" s="9"/>
      <c r="R8" s="9"/>
      <c r="S8" s="9"/>
      <c r="T8" s="9"/>
      <c r="U8" s="9"/>
      <c r="V8" s="9"/>
      <c r="W8" s="9"/>
      <c r="X8" s="9"/>
      <c r="Y8" s="9"/>
      <c r="Z8" s="9"/>
    </row>
    <row r="9" spans="1:26" ht="14.25" customHeight="1" x14ac:dyDescent="0.2">
      <c r="A9" s="9"/>
      <c r="B9" s="14"/>
      <c r="C9" s="14"/>
      <c r="D9" s="9"/>
      <c r="J9" s="9"/>
      <c r="K9" s="15"/>
      <c r="L9" s="15"/>
      <c r="M9" s="9"/>
      <c r="N9" s="9"/>
      <c r="O9" s="9"/>
      <c r="P9" s="9"/>
      <c r="Q9" s="9"/>
      <c r="R9" s="9"/>
      <c r="S9" s="9"/>
      <c r="T9" s="9"/>
      <c r="U9" s="9"/>
      <c r="V9" s="9"/>
      <c r="W9" s="9"/>
      <c r="X9" s="9"/>
      <c r="Y9" s="9"/>
      <c r="Z9" s="9"/>
    </row>
    <row r="10" spans="1:26" ht="14.25" customHeight="1" x14ac:dyDescent="0.2">
      <c r="A10" s="9"/>
      <c r="B10" s="14"/>
      <c r="C10" s="14"/>
      <c r="D10" s="9"/>
      <c r="J10" s="9"/>
      <c r="K10" s="15"/>
      <c r="L10" s="15"/>
      <c r="M10" s="9"/>
      <c r="N10" s="9"/>
      <c r="O10" s="9"/>
      <c r="P10" s="9"/>
      <c r="Q10" s="9"/>
      <c r="R10" s="9"/>
      <c r="S10" s="9"/>
      <c r="T10" s="9"/>
      <c r="U10" s="9"/>
      <c r="V10" s="9"/>
      <c r="W10" s="9"/>
      <c r="X10" s="9"/>
      <c r="Y10" s="9"/>
      <c r="Z10" s="9"/>
    </row>
    <row r="11" spans="1:26" ht="14.25" customHeight="1" x14ac:dyDescent="0.2">
      <c r="A11" s="9"/>
      <c r="B11" s="14"/>
      <c r="C11" s="14"/>
      <c r="D11" s="9"/>
      <c r="E11" s="9"/>
      <c r="F11" s="9"/>
      <c r="G11" s="9"/>
      <c r="H11" s="9"/>
      <c r="I11" s="9"/>
      <c r="J11" s="9"/>
      <c r="K11" s="15"/>
      <c r="L11" s="15"/>
      <c r="M11" s="9"/>
      <c r="N11" s="9"/>
      <c r="O11" s="9"/>
      <c r="P11" s="9"/>
      <c r="Q11" s="9"/>
      <c r="R11" s="9"/>
      <c r="S11" s="9"/>
      <c r="T11" s="9"/>
      <c r="U11" s="9"/>
      <c r="V11" s="9"/>
      <c r="W11" s="9"/>
      <c r="X11" s="9"/>
      <c r="Y11" s="9"/>
      <c r="Z11" s="9"/>
    </row>
    <row r="12" spans="1:26" ht="14.25" customHeight="1" x14ac:dyDescent="0.2">
      <c r="A12" s="9"/>
      <c r="B12" s="14"/>
      <c r="C12" s="14"/>
      <c r="D12" s="9"/>
      <c r="E12" s="9"/>
      <c r="F12" s="9"/>
      <c r="G12" s="9"/>
      <c r="H12" s="9"/>
      <c r="I12" s="9"/>
      <c r="J12" s="9"/>
      <c r="K12" s="15"/>
      <c r="L12" s="15"/>
      <c r="M12" s="9"/>
      <c r="N12" s="9"/>
      <c r="O12" s="9"/>
      <c r="P12" s="9"/>
      <c r="Q12" s="9"/>
      <c r="R12" s="9"/>
      <c r="S12" s="9"/>
      <c r="T12" s="9"/>
      <c r="U12" s="9"/>
      <c r="V12" s="9"/>
      <c r="W12" s="9"/>
      <c r="X12" s="9"/>
      <c r="Y12" s="9"/>
      <c r="Z12" s="9"/>
    </row>
    <row r="13" spans="1:26" ht="14.25" customHeight="1" x14ac:dyDescent="0.2">
      <c r="A13" s="9"/>
      <c r="B13" s="14"/>
      <c r="C13" s="14"/>
      <c r="D13" s="9"/>
      <c r="E13" s="56" t="s">
        <v>243</v>
      </c>
      <c r="F13" s="57"/>
      <c r="G13" s="57"/>
      <c r="H13" s="57"/>
      <c r="I13" s="58"/>
      <c r="J13" s="9"/>
      <c r="K13" s="15"/>
      <c r="L13" s="15"/>
      <c r="M13" s="9"/>
      <c r="N13" s="9"/>
      <c r="O13" s="9"/>
      <c r="P13" s="9"/>
      <c r="Q13" s="9"/>
      <c r="R13" s="9"/>
      <c r="S13" s="9"/>
      <c r="T13" s="9"/>
      <c r="U13" s="9"/>
      <c r="V13" s="9"/>
      <c r="W13" s="9"/>
      <c r="X13" s="9"/>
      <c r="Y13" s="9"/>
      <c r="Z13" s="9"/>
    </row>
    <row r="14" spans="1:26" ht="14.25" customHeight="1" x14ac:dyDescent="0.2">
      <c r="A14" s="9"/>
      <c r="B14" s="14"/>
      <c r="C14" s="14"/>
      <c r="D14" s="9"/>
      <c r="E14" s="59"/>
      <c r="F14" s="60"/>
      <c r="G14" s="60"/>
      <c r="H14" s="60"/>
      <c r="I14" s="61"/>
      <c r="J14" s="9"/>
      <c r="K14" s="15"/>
      <c r="L14" s="15"/>
      <c r="M14" s="9"/>
      <c r="N14" s="9"/>
      <c r="O14" s="9"/>
      <c r="P14" s="9"/>
      <c r="Q14" s="9"/>
      <c r="R14" s="9"/>
      <c r="S14" s="9"/>
      <c r="T14" s="9"/>
      <c r="U14" s="9"/>
      <c r="V14" s="9"/>
      <c r="W14" s="9"/>
      <c r="X14" s="9"/>
      <c r="Y14" s="9"/>
      <c r="Z14" s="9"/>
    </row>
    <row r="15" spans="1:26" ht="14.25" customHeight="1" x14ac:dyDescent="0.2">
      <c r="A15" s="9"/>
      <c r="B15" s="14"/>
      <c r="C15" s="14"/>
      <c r="D15" s="9"/>
      <c r="E15" s="59"/>
      <c r="F15" s="60"/>
      <c r="G15" s="60"/>
      <c r="H15" s="60"/>
      <c r="I15" s="61"/>
      <c r="J15" s="9"/>
      <c r="K15" s="15"/>
      <c r="L15" s="15"/>
      <c r="M15" s="9"/>
      <c r="N15" s="9"/>
      <c r="O15" s="9"/>
      <c r="P15" s="9"/>
      <c r="Q15" s="9"/>
      <c r="R15" s="9"/>
      <c r="S15" s="9"/>
      <c r="T15" s="9"/>
      <c r="U15" s="9"/>
      <c r="V15" s="9"/>
      <c r="W15" s="9"/>
      <c r="X15" s="9"/>
      <c r="Y15" s="9"/>
      <c r="Z15" s="9"/>
    </row>
    <row r="16" spans="1:26" ht="14.25" customHeight="1" x14ac:dyDescent="0.2">
      <c r="A16" s="9"/>
      <c r="B16" s="14"/>
      <c r="C16" s="14"/>
      <c r="D16" s="9"/>
      <c r="E16" s="59"/>
      <c r="F16" s="60"/>
      <c r="G16" s="60"/>
      <c r="H16" s="60"/>
      <c r="I16" s="61"/>
      <c r="J16" s="9"/>
      <c r="K16" s="15"/>
      <c r="L16" s="15"/>
      <c r="M16" s="9"/>
      <c r="N16" s="9"/>
      <c r="O16" s="9"/>
      <c r="P16" s="9"/>
      <c r="Q16" s="9"/>
      <c r="R16" s="9"/>
      <c r="S16" s="9"/>
      <c r="T16" s="9"/>
      <c r="U16" s="9"/>
      <c r="V16" s="9"/>
      <c r="W16" s="9"/>
      <c r="X16" s="9"/>
      <c r="Y16" s="9"/>
      <c r="Z16" s="9"/>
    </row>
    <row r="17" spans="1:26" ht="14.25" customHeight="1" x14ac:dyDescent="0.2">
      <c r="A17" s="9"/>
      <c r="B17" s="14"/>
      <c r="C17" s="14"/>
      <c r="D17" s="9"/>
      <c r="E17" s="62"/>
      <c r="F17" s="63"/>
      <c r="G17" s="63"/>
      <c r="H17" s="63"/>
      <c r="I17" s="64"/>
      <c r="J17" s="9"/>
      <c r="K17" s="15"/>
      <c r="L17" s="15"/>
      <c r="M17" s="9"/>
      <c r="N17" s="9"/>
      <c r="O17" s="9"/>
      <c r="P17" s="9"/>
      <c r="Q17" s="9"/>
      <c r="R17" s="9"/>
      <c r="S17" s="9"/>
      <c r="T17" s="9"/>
      <c r="U17" s="9"/>
      <c r="V17" s="9"/>
      <c r="W17" s="9"/>
      <c r="X17" s="9"/>
      <c r="Y17" s="9"/>
      <c r="Z17" s="9"/>
    </row>
    <row r="18" spans="1:26" ht="14.25" customHeight="1" x14ac:dyDescent="0.2">
      <c r="A18" s="9"/>
      <c r="B18" s="14"/>
      <c r="C18" s="14"/>
      <c r="D18" s="9"/>
      <c r="J18" s="9"/>
      <c r="K18" s="15"/>
      <c r="L18" s="15"/>
      <c r="M18" s="9"/>
      <c r="N18" s="9"/>
      <c r="O18" s="9"/>
      <c r="P18" s="9"/>
      <c r="Q18" s="9"/>
      <c r="R18" s="9"/>
      <c r="S18" s="9"/>
      <c r="T18" s="9"/>
      <c r="U18" s="9"/>
      <c r="V18" s="9"/>
      <c r="W18" s="9"/>
      <c r="X18" s="9"/>
      <c r="Y18" s="9"/>
      <c r="Z18" s="9"/>
    </row>
    <row r="19" spans="1:26" ht="14.25" customHeight="1" x14ac:dyDescent="0.2">
      <c r="A19" s="9"/>
      <c r="B19" s="14"/>
      <c r="C19" s="14"/>
      <c r="D19" s="9"/>
      <c r="J19" s="9"/>
      <c r="K19" s="15"/>
      <c r="L19" s="15"/>
      <c r="M19" s="9"/>
      <c r="N19" s="9"/>
      <c r="O19" s="9"/>
      <c r="P19" s="9"/>
      <c r="Q19" s="9"/>
      <c r="R19" s="9"/>
      <c r="S19" s="9"/>
      <c r="T19" s="9"/>
      <c r="U19" s="9"/>
      <c r="V19" s="9"/>
      <c r="W19" s="9"/>
      <c r="X19" s="9"/>
      <c r="Y19" s="9"/>
      <c r="Z19" s="9"/>
    </row>
    <row r="20" spans="1:26" ht="14.25" customHeight="1" x14ac:dyDescent="0.2">
      <c r="A20" s="9"/>
      <c r="B20" s="14"/>
      <c r="C20" s="14"/>
      <c r="D20" s="9"/>
      <c r="J20" s="9"/>
      <c r="K20" s="15"/>
      <c r="L20" s="15"/>
      <c r="M20" s="9"/>
      <c r="N20" s="9"/>
      <c r="O20" s="9"/>
      <c r="P20" s="9"/>
      <c r="Q20" s="9"/>
      <c r="R20" s="9"/>
      <c r="S20" s="9"/>
      <c r="T20" s="9"/>
      <c r="U20" s="9"/>
      <c r="V20" s="9"/>
      <c r="W20" s="9"/>
      <c r="X20" s="9"/>
      <c r="Y20" s="9"/>
      <c r="Z20" s="9"/>
    </row>
    <row r="21" spans="1:26" ht="14.25" customHeight="1" x14ac:dyDescent="0.2">
      <c r="A21" s="9"/>
      <c r="B21" s="14"/>
      <c r="C21" s="14"/>
      <c r="D21" s="9"/>
      <c r="J21" s="9"/>
      <c r="K21" s="15"/>
      <c r="L21" s="15"/>
      <c r="M21" s="9"/>
      <c r="N21" s="9"/>
      <c r="O21" s="9"/>
      <c r="P21" s="9"/>
      <c r="Q21" s="9"/>
      <c r="R21" s="9"/>
      <c r="S21" s="9"/>
      <c r="T21" s="9"/>
      <c r="U21" s="9"/>
      <c r="V21" s="9"/>
      <c r="W21" s="9"/>
      <c r="X21" s="9"/>
      <c r="Y21" s="9"/>
      <c r="Z21" s="9"/>
    </row>
    <row r="22" spans="1:26" ht="14.25" customHeight="1" x14ac:dyDescent="0.2">
      <c r="A22" s="9"/>
      <c r="B22" s="14"/>
      <c r="C22" s="14"/>
      <c r="D22" s="9"/>
      <c r="J22" s="9"/>
      <c r="K22" s="15"/>
      <c r="L22" s="15"/>
      <c r="M22" s="9"/>
      <c r="N22" s="9"/>
      <c r="O22" s="9"/>
      <c r="P22" s="9"/>
      <c r="Q22" s="9"/>
      <c r="R22" s="9"/>
      <c r="S22" s="9"/>
      <c r="T22" s="9"/>
      <c r="U22" s="9"/>
      <c r="V22" s="9"/>
      <c r="W22" s="9"/>
      <c r="X22" s="9"/>
      <c r="Y22" s="9"/>
      <c r="Z22" s="9"/>
    </row>
    <row r="23" spans="1:26" ht="14.25" customHeight="1" x14ac:dyDescent="0.2">
      <c r="A23" s="9"/>
      <c r="B23" s="14"/>
      <c r="C23" s="14"/>
      <c r="D23" s="9"/>
      <c r="E23" s="9"/>
      <c r="F23" s="9"/>
      <c r="G23" s="9"/>
      <c r="H23" s="9"/>
      <c r="I23" s="9"/>
      <c r="J23" s="9"/>
      <c r="K23" s="15"/>
      <c r="L23" s="15"/>
      <c r="M23" s="9"/>
      <c r="N23" s="9"/>
      <c r="O23" s="9"/>
      <c r="P23" s="9"/>
      <c r="Q23" s="9"/>
      <c r="R23" s="9"/>
      <c r="S23" s="9"/>
      <c r="T23" s="9"/>
      <c r="U23" s="9"/>
      <c r="V23" s="9"/>
      <c r="W23" s="9"/>
      <c r="X23" s="9"/>
      <c r="Y23" s="9"/>
      <c r="Z23" s="9"/>
    </row>
    <row r="24" spans="1:26" ht="14.25" customHeight="1" x14ac:dyDescent="0.2">
      <c r="A24" s="9"/>
      <c r="B24" s="14"/>
      <c r="C24" s="14"/>
      <c r="D24" s="9"/>
      <c r="E24" s="9"/>
      <c r="F24" s="9"/>
      <c r="G24" s="9"/>
      <c r="H24" s="9"/>
      <c r="I24" s="9"/>
      <c r="J24" s="9"/>
      <c r="K24" s="15"/>
      <c r="L24" s="15"/>
      <c r="M24" s="9"/>
      <c r="N24" s="9"/>
      <c r="O24" s="9"/>
      <c r="P24" s="9"/>
      <c r="Q24" s="9"/>
      <c r="R24" s="9"/>
      <c r="S24" s="9"/>
      <c r="T24" s="9"/>
      <c r="U24" s="9"/>
      <c r="V24" s="9"/>
      <c r="W24" s="9"/>
      <c r="X24" s="9"/>
      <c r="Y24" s="9"/>
      <c r="Z24" s="9"/>
    </row>
    <row r="25" spans="1:26" ht="14.25" customHeight="1" x14ac:dyDescent="0.2">
      <c r="A25" s="9"/>
      <c r="B25" s="14"/>
      <c r="C25" s="14"/>
      <c r="D25" s="9"/>
      <c r="E25" s="9"/>
      <c r="F25" s="9"/>
      <c r="G25" s="9"/>
      <c r="H25" s="9"/>
      <c r="I25" s="9"/>
      <c r="J25" s="9"/>
      <c r="K25" s="15"/>
      <c r="L25" s="15"/>
      <c r="M25" s="9"/>
      <c r="N25" s="9"/>
      <c r="O25" s="9"/>
      <c r="P25" s="9"/>
      <c r="Q25" s="9"/>
      <c r="R25" s="9"/>
      <c r="S25" s="9"/>
      <c r="T25" s="9"/>
      <c r="U25" s="9"/>
      <c r="V25" s="9"/>
      <c r="W25" s="9"/>
      <c r="X25" s="9"/>
      <c r="Y25" s="9"/>
      <c r="Z25" s="9"/>
    </row>
    <row r="26" spans="1:26" ht="14.25" customHeight="1" x14ac:dyDescent="0.2">
      <c r="A26" s="9"/>
      <c r="B26" s="14"/>
      <c r="C26" s="14"/>
      <c r="D26" s="9"/>
      <c r="E26" s="9"/>
      <c r="F26" s="9"/>
      <c r="G26" s="9"/>
      <c r="H26" s="9"/>
      <c r="I26" s="9"/>
      <c r="J26" s="9"/>
      <c r="K26" s="15"/>
      <c r="L26" s="15"/>
      <c r="M26" s="9"/>
      <c r="N26" s="9"/>
      <c r="O26" s="9"/>
      <c r="P26" s="9"/>
      <c r="Q26" s="9"/>
      <c r="R26" s="9"/>
      <c r="S26" s="9"/>
      <c r="T26" s="9"/>
      <c r="U26" s="9"/>
      <c r="V26" s="9"/>
      <c r="W26" s="9"/>
      <c r="X26" s="9"/>
      <c r="Y26" s="9"/>
      <c r="Z26" s="9"/>
    </row>
    <row r="27" spans="1:26" ht="14.25" customHeight="1" x14ac:dyDescent="0.2">
      <c r="A27" s="9"/>
      <c r="B27" s="14"/>
      <c r="C27" s="14"/>
      <c r="D27" s="9"/>
      <c r="E27" s="9"/>
      <c r="F27" s="9"/>
      <c r="G27" s="9"/>
      <c r="H27" s="9"/>
      <c r="I27" s="9"/>
      <c r="J27" s="9"/>
      <c r="K27" s="15"/>
      <c r="L27" s="15"/>
      <c r="M27" s="9"/>
      <c r="N27" s="9"/>
      <c r="O27" s="9"/>
      <c r="P27" s="9"/>
      <c r="Q27" s="9"/>
      <c r="R27" s="9"/>
      <c r="S27" s="9"/>
      <c r="T27" s="9"/>
      <c r="U27" s="9"/>
      <c r="V27" s="9"/>
      <c r="W27" s="9"/>
      <c r="X27" s="9"/>
      <c r="Y27" s="9"/>
      <c r="Z27" s="9"/>
    </row>
    <row r="28" spans="1:26" ht="14.25" customHeight="1" x14ac:dyDescent="0.2">
      <c r="A28" s="9"/>
      <c r="B28" s="14"/>
      <c r="C28" s="14"/>
      <c r="D28" s="9"/>
      <c r="E28" s="9"/>
      <c r="F28" s="9"/>
      <c r="G28" s="9"/>
      <c r="H28" s="9"/>
      <c r="I28" s="9"/>
      <c r="J28" s="9"/>
      <c r="K28" s="15"/>
      <c r="L28" s="15"/>
      <c r="M28" s="9"/>
      <c r="N28" s="9"/>
      <c r="O28" s="9"/>
      <c r="P28" s="9"/>
      <c r="Q28" s="9"/>
      <c r="R28" s="9"/>
      <c r="S28" s="9"/>
      <c r="T28" s="9"/>
      <c r="U28" s="9"/>
      <c r="V28" s="9"/>
      <c r="W28" s="9"/>
      <c r="X28" s="9"/>
      <c r="Y28" s="9"/>
      <c r="Z28" s="9"/>
    </row>
    <row r="29" spans="1:26" ht="14.25" customHeight="1" x14ac:dyDescent="0.2">
      <c r="A29" s="9"/>
      <c r="B29" s="14"/>
      <c r="C29" s="14"/>
      <c r="D29" s="9"/>
      <c r="E29" s="9"/>
      <c r="F29" s="9"/>
      <c r="G29" s="9"/>
      <c r="H29" s="9"/>
      <c r="I29" s="9"/>
      <c r="J29" s="9"/>
      <c r="K29" s="15"/>
      <c r="L29" s="15"/>
      <c r="M29" s="9"/>
      <c r="N29" s="9"/>
      <c r="O29" s="9"/>
      <c r="P29" s="9"/>
      <c r="Q29" s="9"/>
      <c r="R29" s="9"/>
      <c r="S29" s="9"/>
      <c r="T29" s="9"/>
      <c r="U29" s="9"/>
      <c r="V29" s="9"/>
      <c r="W29" s="9"/>
      <c r="X29" s="9"/>
      <c r="Y29" s="9"/>
      <c r="Z29" s="9"/>
    </row>
    <row r="30" spans="1:26" ht="14.25" customHeight="1" x14ac:dyDescent="0.2">
      <c r="A30" s="9"/>
      <c r="B30" s="14"/>
      <c r="C30" s="14"/>
      <c r="D30" s="9"/>
      <c r="E30" s="9"/>
      <c r="F30" s="9"/>
      <c r="G30" s="9"/>
      <c r="H30" s="9"/>
      <c r="I30" s="9"/>
      <c r="J30" s="9"/>
      <c r="K30" s="15"/>
      <c r="L30" s="15"/>
      <c r="M30" s="9"/>
      <c r="N30" s="9"/>
      <c r="O30" s="9"/>
      <c r="P30" s="9"/>
      <c r="Q30" s="9"/>
      <c r="R30" s="9"/>
      <c r="S30" s="9"/>
      <c r="T30" s="9"/>
      <c r="U30" s="9"/>
      <c r="V30" s="9"/>
      <c r="W30" s="9"/>
      <c r="X30" s="9"/>
      <c r="Y30" s="9"/>
      <c r="Z30" s="9"/>
    </row>
    <row r="31" spans="1:26" ht="14.25" customHeight="1" x14ac:dyDescent="0.2">
      <c r="A31" s="9"/>
      <c r="B31" s="14"/>
      <c r="C31" s="14"/>
      <c r="D31" s="9"/>
      <c r="E31" s="9"/>
      <c r="F31" s="9"/>
      <c r="G31" s="9"/>
      <c r="H31" s="9"/>
      <c r="I31" s="9"/>
      <c r="J31" s="9"/>
      <c r="K31" s="15"/>
      <c r="L31" s="15"/>
      <c r="M31" s="9"/>
      <c r="N31" s="9"/>
      <c r="O31" s="9"/>
      <c r="P31" s="9"/>
      <c r="Q31" s="9"/>
      <c r="R31" s="9"/>
      <c r="S31" s="9"/>
      <c r="T31" s="9"/>
      <c r="U31" s="9"/>
      <c r="V31" s="9"/>
      <c r="W31" s="9"/>
      <c r="X31" s="9"/>
      <c r="Y31" s="9"/>
      <c r="Z31" s="9"/>
    </row>
    <row r="32" spans="1:26" ht="14.25" customHeight="1" x14ac:dyDescent="0.2">
      <c r="A32" s="9"/>
      <c r="B32" s="14"/>
      <c r="C32" s="14"/>
      <c r="D32" s="9"/>
      <c r="E32" s="9"/>
      <c r="F32" s="9"/>
      <c r="G32" s="9"/>
      <c r="H32" s="9"/>
      <c r="I32" s="9"/>
      <c r="J32" s="9"/>
      <c r="K32" s="15"/>
      <c r="L32" s="15"/>
      <c r="M32" s="9"/>
      <c r="N32" s="9"/>
      <c r="O32" s="9"/>
      <c r="P32" s="9"/>
      <c r="Q32" s="9"/>
      <c r="R32" s="9"/>
      <c r="S32" s="9"/>
      <c r="T32" s="9"/>
      <c r="U32" s="9"/>
      <c r="V32" s="9"/>
      <c r="W32" s="9"/>
      <c r="X32" s="9"/>
      <c r="Y32" s="9"/>
      <c r="Z32" s="9"/>
    </row>
    <row r="33" spans="1:26" ht="14.25" customHeight="1" x14ac:dyDescent="0.2">
      <c r="A33" s="9"/>
      <c r="B33" s="14"/>
      <c r="C33" s="14"/>
      <c r="D33" s="9"/>
      <c r="E33" s="9"/>
      <c r="F33" s="9"/>
      <c r="G33" s="9"/>
      <c r="H33" s="9"/>
      <c r="I33" s="9"/>
      <c r="J33" s="9"/>
      <c r="K33" s="15"/>
      <c r="L33" s="15"/>
      <c r="M33" s="9"/>
      <c r="N33" s="9"/>
      <c r="O33" s="9"/>
      <c r="P33" s="9"/>
      <c r="Q33" s="9"/>
      <c r="R33" s="9"/>
      <c r="S33" s="9"/>
      <c r="T33" s="9"/>
      <c r="U33" s="9"/>
      <c r="V33" s="9"/>
      <c r="W33" s="9"/>
      <c r="X33" s="9"/>
      <c r="Y33" s="9"/>
      <c r="Z33" s="9"/>
    </row>
    <row r="34" spans="1:26" ht="14.25" customHeight="1" x14ac:dyDescent="0.2">
      <c r="A34" s="9"/>
      <c r="B34" s="14"/>
      <c r="C34" s="14"/>
      <c r="D34" s="9"/>
      <c r="E34" s="9"/>
      <c r="F34" s="9"/>
      <c r="G34" s="9"/>
      <c r="H34" s="9"/>
      <c r="I34" s="9"/>
      <c r="J34" s="9"/>
      <c r="K34" s="15"/>
      <c r="L34" s="15"/>
      <c r="M34" s="9"/>
      <c r="N34" s="9"/>
      <c r="O34" s="9"/>
      <c r="P34" s="9"/>
      <c r="Q34" s="9"/>
      <c r="R34" s="9"/>
      <c r="S34" s="9"/>
      <c r="T34" s="9"/>
      <c r="U34" s="9"/>
      <c r="V34" s="9"/>
      <c r="W34" s="9"/>
      <c r="X34" s="9"/>
      <c r="Y34" s="9"/>
      <c r="Z34" s="9"/>
    </row>
    <row r="35" spans="1:26" ht="16.5" customHeight="1" x14ac:dyDescent="0.2">
      <c r="A35" s="9"/>
      <c r="B35" s="14"/>
      <c r="C35" s="14"/>
      <c r="D35" s="9"/>
      <c r="E35" s="65" t="s">
        <v>244</v>
      </c>
      <c r="F35" s="66"/>
      <c r="G35" s="66"/>
      <c r="H35" s="66"/>
      <c r="I35" s="67"/>
      <c r="J35" s="9"/>
      <c r="K35" s="15"/>
      <c r="L35" s="15"/>
      <c r="M35" s="9"/>
      <c r="N35" s="9"/>
      <c r="O35" s="9"/>
      <c r="P35" s="9"/>
      <c r="Q35" s="9"/>
      <c r="R35" s="9"/>
      <c r="S35" s="9"/>
      <c r="T35" s="9"/>
      <c r="U35" s="9"/>
      <c r="V35" s="9"/>
      <c r="W35" s="9"/>
      <c r="X35" s="9"/>
      <c r="Y35" s="9"/>
      <c r="Z35" s="9"/>
    </row>
    <row r="36" spans="1:26" ht="16.5" customHeight="1" x14ac:dyDescent="0.2">
      <c r="A36" s="9"/>
      <c r="B36" s="14"/>
      <c r="C36" s="14"/>
      <c r="D36" s="9"/>
      <c r="E36" s="68"/>
      <c r="F36" s="69"/>
      <c r="G36" s="69"/>
      <c r="H36" s="69"/>
      <c r="I36" s="70"/>
      <c r="J36" s="9"/>
      <c r="K36" s="15"/>
      <c r="L36" s="15"/>
      <c r="M36" s="9"/>
      <c r="N36" s="9"/>
      <c r="O36" s="9"/>
      <c r="P36" s="9"/>
      <c r="Q36" s="9"/>
      <c r="R36" s="9"/>
      <c r="S36" s="9"/>
      <c r="T36" s="9"/>
      <c r="U36" s="9"/>
      <c r="V36" s="9"/>
      <c r="W36" s="9"/>
      <c r="X36" s="9"/>
      <c r="Y36" s="9"/>
      <c r="Z36" s="9"/>
    </row>
    <row r="37" spans="1:26" ht="16.5" customHeight="1" x14ac:dyDescent="0.2">
      <c r="A37" s="9"/>
      <c r="B37" s="14"/>
      <c r="C37" s="14"/>
      <c r="D37" s="9"/>
      <c r="E37" s="68"/>
      <c r="F37" s="69"/>
      <c r="G37" s="69"/>
      <c r="H37" s="69"/>
      <c r="I37" s="70"/>
      <c r="J37" s="9"/>
      <c r="K37" s="15"/>
      <c r="L37" s="15"/>
      <c r="M37" s="9"/>
      <c r="N37" s="9"/>
      <c r="O37" s="9"/>
      <c r="P37" s="9"/>
      <c r="Q37" s="9"/>
      <c r="R37" s="9"/>
      <c r="S37" s="9"/>
      <c r="T37" s="9"/>
      <c r="U37" s="9"/>
      <c r="V37" s="9"/>
      <c r="W37" s="9"/>
      <c r="X37" s="9"/>
      <c r="Y37" s="9"/>
      <c r="Z37" s="9"/>
    </row>
    <row r="38" spans="1:26" ht="16.5" customHeight="1" x14ac:dyDescent="0.2">
      <c r="A38" s="9"/>
      <c r="B38" s="14"/>
      <c r="C38" s="14"/>
      <c r="D38" s="9"/>
      <c r="E38" s="68"/>
      <c r="F38" s="69"/>
      <c r="G38" s="69"/>
      <c r="H38" s="69"/>
      <c r="I38" s="70"/>
      <c r="J38" s="9"/>
      <c r="K38" s="15"/>
      <c r="L38" s="15"/>
      <c r="M38" s="9"/>
      <c r="N38" s="9"/>
      <c r="O38" s="9"/>
      <c r="P38" s="9"/>
      <c r="Q38" s="9"/>
      <c r="R38" s="9"/>
      <c r="S38" s="9"/>
      <c r="T38" s="9"/>
      <c r="U38" s="9"/>
      <c r="V38" s="9"/>
      <c r="W38" s="9"/>
      <c r="X38" s="9"/>
      <c r="Y38" s="9"/>
      <c r="Z38" s="9"/>
    </row>
    <row r="39" spans="1:26" ht="16.5" customHeight="1" x14ac:dyDescent="0.2">
      <c r="A39" s="9"/>
      <c r="B39" s="14"/>
      <c r="C39" s="14"/>
      <c r="D39" s="9"/>
      <c r="E39" s="71"/>
      <c r="F39" s="72"/>
      <c r="G39" s="72"/>
      <c r="H39" s="72"/>
      <c r="I39" s="73"/>
      <c r="J39" s="9"/>
      <c r="K39" s="15"/>
      <c r="L39" s="15"/>
      <c r="M39" s="9"/>
      <c r="N39" s="9"/>
      <c r="O39" s="9"/>
      <c r="P39" s="9"/>
      <c r="Q39" s="9"/>
      <c r="R39" s="9"/>
      <c r="S39" s="9"/>
      <c r="T39" s="9"/>
      <c r="U39" s="9"/>
      <c r="V39" s="9"/>
      <c r="W39" s="9"/>
      <c r="X39" s="9"/>
      <c r="Y39" s="9"/>
      <c r="Z39" s="9"/>
    </row>
    <row r="40" spans="1:26" ht="16.5" customHeight="1" x14ac:dyDescent="0.2">
      <c r="A40" s="9"/>
      <c r="B40" s="14"/>
      <c r="C40" s="14"/>
      <c r="D40" s="9"/>
      <c r="E40" s="9"/>
      <c r="F40" s="9"/>
      <c r="G40" s="9"/>
      <c r="H40" s="9"/>
      <c r="I40" s="9"/>
      <c r="J40" s="9"/>
      <c r="K40" s="15"/>
      <c r="L40" s="15"/>
      <c r="M40" s="9"/>
      <c r="N40" s="9"/>
      <c r="O40" s="9"/>
      <c r="P40" s="9"/>
      <c r="Q40" s="9"/>
      <c r="R40" s="9"/>
      <c r="S40" s="9"/>
      <c r="T40" s="9"/>
      <c r="U40" s="9"/>
      <c r="V40" s="9"/>
      <c r="W40" s="9"/>
      <c r="X40" s="9"/>
      <c r="Y40" s="9"/>
      <c r="Z40" s="9"/>
    </row>
    <row r="41" spans="1:26" ht="14.25" customHeight="1" x14ac:dyDescent="0.2">
      <c r="A41" s="9"/>
      <c r="B41" s="14"/>
      <c r="C41" s="14"/>
      <c r="D41" s="9"/>
      <c r="E41" s="9"/>
      <c r="F41" s="9"/>
      <c r="G41" s="9"/>
      <c r="H41" s="9"/>
      <c r="I41" s="9"/>
      <c r="J41" s="9"/>
      <c r="K41" s="15"/>
      <c r="L41" s="15"/>
      <c r="M41" s="9"/>
      <c r="N41" s="9"/>
      <c r="O41" s="9"/>
      <c r="P41" s="9"/>
      <c r="Q41" s="9"/>
      <c r="R41" s="9"/>
      <c r="S41" s="9"/>
      <c r="T41" s="9"/>
      <c r="U41" s="9"/>
      <c r="V41" s="9"/>
      <c r="W41" s="9"/>
      <c r="X41" s="9"/>
      <c r="Y41" s="9"/>
      <c r="Z41" s="9"/>
    </row>
    <row r="42" spans="1:26" ht="14.25" customHeight="1" x14ac:dyDescent="0.2">
      <c r="A42" s="9"/>
      <c r="B42" s="14"/>
      <c r="C42" s="14"/>
      <c r="D42" s="9"/>
      <c r="E42" s="9"/>
      <c r="F42" s="9"/>
      <c r="G42" s="9"/>
      <c r="H42" s="9"/>
      <c r="I42" s="9"/>
      <c r="J42" s="9"/>
      <c r="K42" s="15"/>
      <c r="L42" s="15"/>
      <c r="M42" s="9"/>
      <c r="N42" s="9"/>
      <c r="O42" s="9"/>
      <c r="P42" s="9"/>
      <c r="Q42" s="9"/>
      <c r="R42" s="9"/>
      <c r="S42" s="9"/>
      <c r="T42" s="9"/>
      <c r="U42" s="9"/>
      <c r="V42" s="9"/>
      <c r="W42" s="9"/>
      <c r="X42" s="9"/>
      <c r="Y42" s="9"/>
      <c r="Z42" s="9"/>
    </row>
    <row r="43" spans="1:26" ht="14.25" customHeight="1" x14ac:dyDescent="0.2">
      <c r="A43" s="9"/>
      <c r="B43" s="14"/>
      <c r="C43" s="17"/>
      <c r="D43" s="18"/>
      <c r="E43" s="18"/>
      <c r="F43" s="18"/>
      <c r="G43" s="18"/>
      <c r="H43" s="18"/>
      <c r="I43" s="18"/>
      <c r="J43" s="18"/>
      <c r="K43" s="19"/>
      <c r="L43" s="15"/>
      <c r="M43" s="9"/>
      <c r="N43" s="9"/>
      <c r="O43" s="9"/>
      <c r="P43" s="9"/>
      <c r="Q43" s="9"/>
      <c r="R43" s="9"/>
      <c r="S43" s="9"/>
      <c r="T43" s="9"/>
      <c r="U43" s="9"/>
      <c r="V43" s="9"/>
      <c r="W43" s="9"/>
      <c r="X43" s="9"/>
      <c r="Y43" s="9"/>
      <c r="Z43" s="9"/>
    </row>
    <row r="44" spans="1:26" ht="14.25" customHeight="1" x14ac:dyDescent="0.2">
      <c r="A44" s="9"/>
      <c r="B44" s="17"/>
      <c r="C44" s="18"/>
      <c r="D44" s="18"/>
      <c r="E44" s="18"/>
      <c r="F44" s="18"/>
      <c r="G44" s="18"/>
      <c r="H44" s="18"/>
      <c r="I44" s="18"/>
      <c r="J44" s="18"/>
      <c r="K44" s="18"/>
      <c r="L44" s="19"/>
      <c r="M44" s="9"/>
      <c r="N44" s="9"/>
      <c r="O44" s="9"/>
      <c r="P44" s="9"/>
      <c r="Q44" s="9"/>
      <c r="R44" s="9"/>
      <c r="S44" s="9"/>
      <c r="T44" s="9"/>
      <c r="U44" s="9"/>
      <c r="V44" s="9"/>
      <c r="W44" s="9"/>
      <c r="X44" s="9"/>
      <c r="Y44" s="9"/>
      <c r="Z44" s="9"/>
    </row>
    <row r="45" spans="1:26" ht="14.2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E13:I17"/>
    <mergeCell ref="E35:I39"/>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30"/>
  <sheetViews>
    <sheetView tabSelected="1" zoomScale="110" zoomScaleNormal="110" workbookViewId="0">
      <pane xSplit="2" ySplit="1" topLeftCell="K46" activePane="bottomRight" state="frozen"/>
      <selection pane="topRight" activeCell="C1" sqref="C1"/>
      <selection pane="bottomLeft" activeCell="A2" sqref="A2"/>
      <selection pane="bottomRight" activeCell="Q47" sqref="Q47"/>
    </sheetView>
  </sheetViews>
  <sheetFormatPr baseColWidth="10" defaultColWidth="14.5" defaultRowHeight="15" x14ac:dyDescent="0.2"/>
  <cols>
    <col min="1" max="1" width="14.5" customWidth="1"/>
    <col min="2" max="2" width="16.1640625" customWidth="1"/>
    <col min="3" max="3" width="15.1640625" style="33" customWidth="1"/>
    <col min="4" max="4" width="26.5" customWidth="1"/>
    <col min="5" max="5" width="40" style="30" customWidth="1"/>
    <col min="6" max="6" width="18.33203125" customWidth="1"/>
    <col min="7" max="8" width="49.5" customWidth="1"/>
    <col min="9" max="9" width="26" style="47" customWidth="1"/>
    <col min="10" max="11" width="46.1640625" customWidth="1"/>
    <col min="12" max="12" width="24.6640625" style="33" customWidth="1"/>
    <col min="13" max="13" width="14.5" style="50" customWidth="1"/>
    <col min="14" max="14" width="24.1640625" style="33" customWidth="1"/>
    <col min="15" max="15" width="23.33203125" style="54" customWidth="1"/>
    <col min="16" max="16" width="22.5" style="55" customWidth="1"/>
    <col min="17" max="17" width="14.5" style="37" customWidth="1"/>
    <col min="18" max="32" width="14.5" customWidth="1"/>
  </cols>
  <sheetData>
    <row r="1" spans="1:32" ht="16" x14ac:dyDescent="0.2">
      <c r="A1" s="2" t="s">
        <v>1</v>
      </c>
      <c r="B1" s="3" t="s">
        <v>3</v>
      </c>
      <c r="C1" s="3" t="s">
        <v>5</v>
      </c>
      <c r="D1" s="2" t="s">
        <v>6</v>
      </c>
      <c r="E1" s="27" t="s">
        <v>7</v>
      </c>
      <c r="F1" s="3" t="s">
        <v>9</v>
      </c>
      <c r="G1" s="3" t="s">
        <v>10</v>
      </c>
      <c r="H1" s="3" t="s">
        <v>11</v>
      </c>
      <c r="I1" s="44" t="s">
        <v>12</v>
      </c>
      <c r="J1" s="3" t="s">
        <v>14</v>
      </c>
      <c r="K1" s="35" t="s">
        <v>107</v>
      </c>
      <c r="L1" s="3" t="s">
        <v>15</v>
      </c>
      <c r="M1" s="48" t="s">
        <v>19</v>
      </c>
      <c r="N1" s="31" t="s">
        <v>22</v>
      </c>
      <c r="O1" s="51" t="s">
        <v>24</v>
      </c>
      <c r="P1" s="52" t="s">
        <v>27</v>
      </c>
      <c r="Q1" s="38" t="s">
        <v>30</v>
      </c>
      <c r="R1" s="1"/>
    </row>
    <row r="2" spans="1:32" ht="160" x14ac:dyDescent="0.2">
      <c r="A2" s="6" t="s">
        <v>341</v>
      </c>
      <c r="B2" s="6" t="s">
        <v>152</v>
      </c>
      <c r="C2" s="34">
        <v>1</v>
      </c>
      <c r="D2" s="6" t="s">
        <v>36</v>
      </c>
      <c r="E2" s="28" t="s">
        <v>133</v>
      </c>
      <c r="F2" s="7" t="s">
        <v>0</v>
      </c>
      <c r="G2" s="8" t="s">
        <v>37</v>
      </c>
      <c r="H2" s="32" t="s">
        <v>38</v>
      </c>
      <c r="I2" s="45" t="s">
        <v>113</v>
      </c>
      <c r="J2" s="7" t="s">
        <v>39</v>
      </c>
      <c r="K2" s="7" t="s">
        <v>125</v>
      </c>
      <c r="L2" s="32" t="s">
        <v>40</v>
      </c>
      <c r="M2" s="49" t="s">
        <v>2</v>
      </c>
      <c r="N2" s="32" t="s">
        <v>20</v>
      </c>
      <c r="O2" s="49" t="s">
        <v>124</v>
      </c>
      <c r="P2" s="45" t="s">
        <v>13</v>
      </c>
      <c r="Q2" s="36" t="s">
        <v>18</v>
      </c>
      <c r="S2" s="10"/>
      <c r="T2" s="10"/>
      <c r="U2" s="10"/>
      <c r="V2" s="10"/>
      <c r="W2" s="10"/>
      <c r="X2" s="10"/>
      <c r="Y2" s="10"/>
      <c r="Z2" s="10"/>
      <c r="AA2" s="10"/>
      <c r="AB2" s="10"/>
      <c r="AC2" s="10"/>
      <c r="AD2" s="10"/>
      <c r="AE2" s="10"/>
      <c r="AF2" s="10"/>
    </row>
    <row r="3" spans="1:32" ht="160" x14ac:dyDescent="0.2">
      <c r="A3" s="6" t="s">
        <v>342</v>
      </c>
      <c r="B3" s="6" t="s">
        <v>152</v>
      </c>
      <c r="C3" s="34">
        <v>1</v>
      </c>
      <c r="D3" s="6" t="s">
        <v>36</v>
      </c>
      <c r="E3" s="28" t="s">
        <v>132</v>
      </c>
      <c r="F3" s="7" t="s">
        <v>0</v>
      </c>
      <c r="G3" s="8" t="s">
        <v>41</v>
      </c>
      <c r="H3" s="7" t="s">
        <v>42</v>
      </c>
      <c r="I3" s="45" t="s">
        <v>114</v>
      </c>
      <c r="J3" s="7" t="s">
        <v>43</v>
      </c>
      <c r="K3" s="7" t="s">
        <v>108</v>
      </c>
      <c r="L3" s="32" t="s">
        <v>40</v>
      </c>
      <c r="M3" s="49" t="s">
        <v>2</v>
      </c>
      <c r="N3" s="32" t="s">
        <v>20</v>
      </c>
      <c r="O3" s="49"/>
      <c r="P3" s="45" t="s">
        <v>13</v>
      </c>
      <c r="Q3" s="36" t="s">
        <v>18</v>
      </c>
      <c r="S3" s="10"/>
      <c r="T3" s="10"/>
      <c r="U3" s="10"/>
      <c r="V3" s="10"/>
      <c r="W3" s="10"/>
      <c r="X3" s="10"/>
      <c r="Y3" s="10"/>
      <c r="Z3" s="10"/>
      <c r="AA3" s="10"/>
      <c r="AB3" s="10"/>
      <c r="AC3" s="10"/>
      <c r="AD3" s="10"/>
      <c r="AE3" s="10"/>
      <c r="AF3" s="10"/>
    </row>
    <row r="4" spans="1:32" ht="160" x14ac:dyDescent="0.2">
      <c r="A4" s="6" t="s">
        <v>343</v>
      </c>
      <c r="B4" s="6" t="s">
        <v>152</v>
      </c>
      <c r="C4" s="34">
        <v>1</v>
      </c>
      <c r="D4" s="6" t="s">
        <v>44</v>
      </c>
      <c r="E4" s="28" t="s">
        <v>131</v>
      </c>
      <c r="F4" s="7" t="s">
        <v>0</v>
      </c>
      <c r="G4" s="7" t="s">
        <v>45</v>
      </c>
      <c r="H4" s="7" t="s">
        <v>134</v>
      </c>
      <c r="I4" s="45" t="s">
        <v>136</v>
      </c>
      <c r="J4" s="7" t="s">
        <v>46</v>
      </c>
      <c r="K4" s="7" t="s">
        <v>135</v>
      </c>
      <c r="L4" s="32" t="s">
        <v>40</v>
      </c>
      <c r="M4" s="49" t="s">
        <v>2</v>
      </c>
      <c r="N4" s="32" t="s">
        <v>20</v>
      </c>
      <c r="O4" s="49" t="s">
        <v>137</v>
      </c>
      <c r="P4" s="45" t="s">
        <v>13</v>
      </c>
      <c r="Q4" s="36" t="s">
        <v>18</v>
      </c>
      <c r="S4" s="10"/>
      <c r="T4" s="10"/>
      <c r="U4" s="10"/>
      <c r="V4" s="10"/>
      <c r="W4" s="10"/>
      <c r="X4" s="10"/>
      <c r="Y4" s="10"/>
      <c r="Z4" s="10"/>
      <c r="AA4" s="10"/>
      <c r="AB4" s="10"/>
      <c r="AC4" s="10"/>
      <c r="AD4" s="10"/>
      <c r="AE4" s="10"/>
      <c r="AF4" s="10"/>
    </row>
    <row r="5" spans="1:32" ht="160" x14ac:dyDescent="0.2">
      <c r="A5" s="6" t="s">
        <v>344</v>
      </c>
      <c r="B5" s="6" t="s">
        <v>152</v>
      </c>
      <c r="C5" s="34">
        <v>1</v>
      </c>
      <c r="D5" s="6" t="s">
        <v>36</v>
      </c>
      <c r="E5" s="28" t="s">
        <v>109</v>
      </c>
      <c r="F5" s="7" t="s">
        <v>0</v>
      </c>
      <c r="G5" s="7" t="s">
        <v>47</v>
      </c>
      <c r="H5" s="7" t="s">
        <v>48</v>
      </c>
      <c r="I5" s="45" t="s">
        <v>139</v>
      </c>
      <c r="J5" s="7" t="s">
        <v>49</v>
      </c>
      <c r="K5" s="7" t="s">
        <v>138</v>
      </c>
      <c r="L5" s="32" t="s">
        <v>40</v>
      </c>
      <c r="M5" s="49" t="s">
        <v>2</v>
      </c>
      <c r="N5" s="32" t="s">
        <v>8</v>
      </c>
      <c r="O5" s="49"/>
      <c r="P5" s="45" t="s">
        <v>13</v>
      </c>
      <c r="Q5" s="36" t="s">
        <v>18</v>
      </c>
      <c r="S5" s="10"/>
      <c r="T5" s="10"/>
      <c r="U5" s="10"/>
      <c r="V5" s="10"/>
      <c r="W5" s="10"/>
      <c r="X5" s="10"/>
      <c r="Y5" s="10"/>
      <c r="Z5" s="10"/>
      <c r="AA5" s="10"/>
      <c r="AB5" s="10"/>
      <c r="AC5" s="10"/>
      <c r="AD5" s="10"/>
      <c r="AE5" s="10"/>
      <c r="AF5" s="10"/>
    </row>
    <row r="6" spans="1:32" ht="160" x14ac:dyDescent="0.2">
      <c r="A6" s="6" t="s">
        <v>345</v>
      </c>
      <c r="B6" s="6" t="s">
        <v>152</v>
      </c>
      <c r="C6" s="34">
        <v>1</v>
      </c>
      <c r="D6" s="6" t="s">
        <v>36</v>
      </c>
      <c r="E6" s="28" t="s">
        <v>110</v>
      </c>
      <c r="F6" s="7" t="s">
        <v>0</v>
      </c>
      <c r="G6" s="7" t="s">
        <v>50</v>
      </c>
      <c r="H6" s="16" t="s">
        <v>51</v>
      </c>
      <c r="I6" s="46" t="s">
        <v>141</v>
      </c>
      <c r="J6" s="7" t="s">
        <v>52</v>
      </c>
      <c r="K6" s="7" t="s">
        <v>140</v>
      </c>
      <c r="L6" s="32" t="s">
        <v>40</v>
      </c>
      <c r="M6" s="49" t="s">
        <v>2</v>
      </c>
      <c r="N6" s="32" t="s">
        <v>20</v>
      </c>
      <c r="O6" s="49"/>
      <c r="P6" s="45" t="s">
        <v>13</v>
      </c>
      <c r="Q6" s="36" t="s">
        <v>18</v>
      </c>
      <c r="S6" s="10"/>
      <c r="T6" s="10"/>
      <c r="U6" s="10"/>
      <c r="V6" s="10"/>
      <c r="W6" s="10"/>
      <c r="X6" s="10"/>
      <c r="Y6" s="10"/>
      <c r="Z6" s="10"/>
      <c r="AA6" s="10"/>
      <c r="AB6" s="10"/>
      <c r="AC6" s="10"/>
      <c r="AD6" s="10"/>
      <c r="AE6" s="10"/>
      <c r="AF6" s="10"/>
    </row>
    <row r="7" spans="1:32" ht="160" x14ac:dyDescent="0.2">
      <c r="A7" s="6" t="s">
        <v>346</v>
      </c>
      <c r="B7" s="6" t="s">
        <v>152</v>
      </c>
      <c r="C7" s="34">
        <v>1</v>
      </c>
      <c r="D7" s="6" t="s">
        <v>36</v>
      </c>
      <c r="E7" s="29" t="s">
        <v>53</v>
      </c>
      <c r="F7" s="7" t="s">
        <v>0</v>
      </c>
      <c r="G7" s="7" t="s">
        <v>54</v>
      </c>
      <c r="H7" s="16" t="s">
        <v>55</v>
      </c>
      <c r="I7" s="46" t="s">
        <v>143</v>
      </c>
      <c r="J7" s="7" t="s">
        <v>65</v>
      </c>
      <c r="K7" s="7" t="s">
        <v>142</v>
      </c>
      <c r="L7" s="32" t="s">
        <v>40</v>
      </c>
      <c r="M7" s="49" t="s">
        <v>2</v>
      </c>
      <c r="N7" s="32" t="s">
        <v>20</v>
      </c>
      <c r="O7" s="49"/>
      <c r="P7" s="45" t="s">
        <v>13</v>
      </c>
      <c r="Q7" s="36" t="s">
        <v>4</v>
      </c>
      <c r="S7" s="10"/>
      <c r="T7" s="10"/>
      <c r="U7" s="10"/>
      <c r="V7" s="10"/>
      <c r="W7" s="10"/>
      <c r="X7" s="10"/>
      <c r="Y7" s="10"/>
      <c r="Z7" s="10"/>
      <c r="AA7" s="10"/>
      <c r="AB7" s="10"/>
      <c r="AC7" s="10"/>
      <c r="AD7" s="10"/>
      <c r="AE7" s="10"/>
      <c r="AF7" s="10"/>
    </row>
    <row r="8" spans="1:32" ht="64" x14ac:dyDescent="0.2">
      <c r="A8" s="6" t="s">
        <v>347</v>
      </c>
      <c r="B8" s="6" t="s">
        <v>153</v>
      </c>
      <c r="C8" s="34">
        <v>1</v>
      </c>
      <c r="D8" s="6" t="s">
        <v>56</v>
      </c>
      <c r="E8" s="28" t="s">
        <v>62</v>
      </c>
      <c r="F8" s="7" t="s">
        <v>0</v>
      </c>
      <c r="G8" s="7" t="s">
        <v>63</v>
      </c>
      <c r="H8" s="7" t="s">
        <v>64</v>
      </c>
      <c r="I8" s="45" t="s">
        <v>115</v>
      </c>
      <c r="J8" s="7" t="s">
        <v>66</v>
      </c>
      <c r="K8" s="7" t="s">
        <v>111</v>
      </c>
      <c r="L8" s="32" t="s">
        <v>40</v>
      </c>
      <c r="M8" s="49" t="s">
        <v>2</v>
      </c>
      <c r="N8" s="32" t="s">
        <v>20</v>
      </c>
      <c r="O8" s="49"/>
      <c r="P8" s="45" t="s">
        <v>13</v>
      </c>
      <c r="Q8" s="36" t="s">
        <v>4</v>
      </c>
      <c r="S8" s="10"/>
      <c r="T8" s="10"/>
      <c r="U8" s="10"/>
      <c r="V8" s="10"/>
      <c r="W8" s="10"/>
      <c r="X8" s="10"/>
      <c r="Y8" s="10"/>
      <c r="Z8" s="10"/>
      <c r="AA8" s="10"/>
      <c r="AB8" s="10"/>
      <c r="AC8" s="10"/>
      <c r="AD8" s="10"/>
      <c r="AE8" s="10"/>
      <c r="AF8" s="10"/>
    </row>
    <row r="9" spans="1:32" ht="80" x14ac:dyDescent="0.2">
      <c r="A9" s="6" t="s">
        <v>348</v>
      </c>
      <c r="B9" s="6" t="s">
        <v>153</v>
      </c>
      <c r="C9" s="34">
        <v>1</v>
      </c>
      <c r="D9" s="6" t="s">
        <v>67</v>
      </c>
      <c r="E9" s="28" t="s">
        <v>69</v>
      </c>
      <c r="F9" s="7" t="s">
        <v>0</v>
      </c>
      <c r="G9" s="7" t="s">
        <v>71</v>
      </c>
      <c r="H9" s="7" t="s">
        <v>72</v>
      </c>
      <c r="I9" s="45" t="s">
        <v>116</v>
      </c>
      <c r="J9" s="7" t="s">
        <v>76</v>
      </c>
      <c r="K9" s="7" t="s">
        <v>119</v>
      </c>
      <c r="L9" s="32" t="s">
        <v>40</v>
      </c>
      <c r="M9" s="49" t="s">
        <v>2</v>
      </c>
      <c r="N9" s="32" t="s">
        <v>8</v>
      </c>
      <c r="O9" s="49"/>
      <c r="P9" s="45" t="s">
        <v>13</v>
      </c>
      <c r="Q9" s="36" t="s">
        <v>4</v>
      </c>
      <c r="S9" s="10"/>
      <c r="T9" s="10"/>
      <c r="U9" s="10"/>
      <c r="V9" s="10"/>
      <c r="W9" s="10"/>
      <c r="X9" s="10"/>
      <c r="Y9" s="10"/>
      <c r="Z9" s="10"/>
      <c r="AA9" s="10"/>
      <c r="AB9" s="10"/>
      <c r="AC9" s="10"/>
      <c r="AD9" s="10"/>
      <c r="AE9" s="10"/>
      <c r="AF9" s="10"/>
    </row>
    <row r="10" spans="1:32" ht="64" x14ac:dyDescent="0.2">
      <c r="A10" s="6" t="s">
        <v>349</v>
      </c>
      <c r="B10" s="6" t="s">
        <v>153</v>
      </c>
      <c r="C10" s="34">
        <v>1</v>
      </c>
      <c r="D10" s="6" t="s">
        <v>68</v>
      </c>
      <c r="E10" s="28" t="s">
        <v>70</v>
      </c>
      <c r="F10" s="7" t="s">
        <v>0</v>
      </c>
      <c r="G10" s="7" t="s">
        <v>74</v>
      </c>
      <c r="H10" s="7" t="s">
        <v>75</v>
      </c>
      <c r="I10" s="45" t="s">
        <v>145</v>
      </c>
      <c r="J10" s="7" t="s">
        <v>77</v>
      </c>
      <c r="K10" s="7" t="s">
        <v>144</v>
      </c>
      <c r="L10" s="32" t="s">
        <v>40</v>
      </c>
      <c r="M10" s="49" t="s">
        <v>2</v>
      </c>
      <c r="N10" s="32" t="s">
        <v>20</v>
      </c>
      <c r="O10" s="49"/>
      <c r="P10" s="45" t="s">
        <v>13</v>
      </c>
      <c r="Q10" s="36" t="s">
        <v>4</v>
      </c>
      <c r="S10" s="10"/>
      <c r="T10" s="10"/>
      <c r="U10" s="10"/>
      <c r="V10" s="10"/>
      <c r="W10" s="10"/>
      <c r="X10" s="10"/>
      <c r="Y10" s="10"/>
      <c r="Z10" s="10"/>
      <c r="AA10" s="10"/>
      <c r="AB10" s="10"/>
      <c r="AC10" s="10"/>
      <c r="AD10" s="10"/>
      <c r="AE10" s="10"/>
      <c r="AF10" s="10"/>
    </row>
    <row r="11" spans="1:32" ht="96" x14ac:dyDescent="0.2">
      <c r="A11" s="6" t="s">
        <v>350</v>
      </c>
      <c r="B11" s="6" t="s">
        <v>154</v>
      </c>
      <c r="C11" s="34">
        <v>1</v>
      </c>
      <c r="D11" s="6" t="s">
        <v>78</v>
      </c>
      <c r="E11" s="28" t="s">
        <v>80</v>
      </c>
      <c r="F11" s="7" t="s">
        <v>0</v>
      </c>
      <c r="G11" s="7" t="s">
        <v>73</v>
      </c>
      <c r="H11" s="7" t="s">
        <v>84</v>
      </c>
      <c r="I11" s="45" t="s">
        <v>117</v>
      </c>
      <c r="J11" s="7" t="s">
        <v>86</v>
      </c>
      <c r="K11" s="7" t="s">
        <v>118</v>
      </c>
      <c r="L11" s="32" t="s">
        <v>40</v>
      </c>
      <c r="M11" s="49" t="s">
        <v>2</v>
      </c>
      <c r="N11" s="32" t="s">
        <v>20</v>
      </c>
      <c r="O11" s="53"/>
      <c r="P11" s="45" t="s">
        <v>13</v>
      </c>
      <c r="Q11" s="36" t="s">
        <v>4</v>
      </c>
      <c r="S11" s="10"/>
      <c r="T11" s="10"/>
      <c r="U11" s="10"/>
      <c r="V11" s="10"/>
      <c r="W11" s="10"/>
      <c r="X11" s="10"/>
      <c r="Y11" s="10"/>
      <c r="Z11" s="10"/>
      <c r="AA11" s="10"/>
      <c r="AB11" s="10"/>
      <c r="AC11" s="10"/>
      <c r="AD11" s="10"/>
      <c r="AE11" s="10"/>
      <c r="AF11" s="10"/>
    </row>
    <row r="12" spans="1:32" ht="96" x14ac:dyDescent="0.2">
      <c r="A12" s="6" t="s">
        <v>351</v>
      </c>
      <c r="B12" s="6" t="s">
        <v>154</v>
      </c>
      <c r="C12" s="34">
        <v>1</v>
      </c>
      <c r="D12" s="6" t="s">
        <v>79</v>
      </c>
      <c r="E12" s="28" t="s">
        <v>81</v>
      </c>
      <c r="F12" s="7" t="s">
        <v>83</v>
      </c>
      <c r="G12" s="7" t="s">
        <v>82</v>
      </c>
      <c r="H12" s="7" t="s">
        <v>85</v>
      </c>
      <c r="I12" s="45" t="s">
        <v>147</v>
      </c>
      <c r="J12" s="7" t="s">
        <v>87</v>
      </c>
      <c r="K12" s="7" t="s">
        <v>146</v>
      </c>
      <c r="L12" s="32" t="s">
        <v>40</v>
      </c>
      <c r="M12" s="49" t="s">
        <v>2</v>
      </c>
      <c r="N12" s="32" t="s">
        <v>20</v>
      </c>
      <c r="O12" s="53"/>
      <c r="P12" s="45" t="s">
        <v>13</v>
      </c>
      <c r="Q12" s="36" t="s">
        <v>4</v>
      </c>
      <c r="S12" s="10"/>
      <c r="T12" s="10"/>
      <c r="U12" s="10"/>
      <c r="V12" s="10"/>
      <c r="W12" s="10"/>
      <c r="X12" s="10"/>
      <c r="Y12" s="10"/>
      <c r="Z12" s="10"/>
      <c r="AA12" s="10"/>
      <c r="AB12" s="10"/>
      <c r="AC12" s="10"/>
      <c r="AD12" s="10"/>
      <c r="AE12" s="10"/>
      <c r="AF12" s="10"/>
    </row>
    <row r="13" spans="1:32" ht="112" x14ac:dyDescent="0.2">
      <c r="A13" s="6" t="s">
        <v>352</v>
      </c>
      <c r="B13" s="6" t="s">
        <v>155</v>
      </c>
      <c r="C13" s="34">
        <v>1</v>
      </c>
      <c r="D13" s="6" t="s">
        <v>88</v>
      </c>
      <c r="E13" s="28" t="s">
        <v>89</v>
      </c>
      <c r="F13" s="7" t="s">
        <v>0</v>
      </c>
      <c r="G13" s="7" t="s">
        <v>90</v>
      </c>
      <c r="H13" s="7" t="s">
        <v>121</v>
      </c>
      <c r="I13" s="45" t="s">
        <v>120</v>
      </c>
      <c r="J13" s="7" t="s">
        <v>91</v>
      </c>
      <c r="K13" s="7" t="s">
        <v>112</v>
      </c>
      <c r="L13" s="32" t="s">
        <v>40</v>
      </c>
      <c r="M13" s="49" t="s">
        <v>2</v>
      </c>
      <c r="N13" s="32" t="s">
        <v>20</v>
      </c>
      <c r="O13" s="53"/>
      <c r="P13" s="45" t="s">
        <v>13</v>
      </c>
      <c r="Q13" s="36" t="s">
        <v>4</v>
      </c>
      <c r="S13" s="10"/>
      <c r="T13" s="10"/>
      <c r="U13" s="10"/>
      <c r="V13" s="10"/>
      <c r="W13" s="10"/>
      <c r="X13" s="10"/>
      <c r="Y13" s="10"/>
      <c r="Z13" s="10"/>
      <c r="AA13" s="10"/>
      <c r="AB13" s="10"/>
      <c r="AC13" s="10"/>
      <c r="AD13" s="10"/>
      <c r="AE13" s="10"/>
      <c r="AF13" s="10"/>
    </row>
    <row r="14" spans="1:32" ht="128" x14ac:dyDescent="0.2">
      <c r="A14" s="6" t="s">
        <v>353</v>
      </c>
      <c r="B14" s="6" t="s">
        <v>155</v>
      </c>
      <c r="C14" s="34">
        <v>1</v>
      </c>
      <c r="D14" s="6" t="s">
        <v>92</v>
      </c>
      <c r="E14" s="28" t="s">
        <v>93</v>
      </c>
      <c r="F14" s="7" t="s">
        <v>0</v>
      </c>
      <c r="G14" s="7" t="s">
        <v>94</v>
      </c>
      <c r="H14" s="7" t="s">
        <v>95</v>
      </c>
      <c r="I14" s="45" t="s">
        <v>123</v>
      </c>
      <c r="J14" s="7" t="s">
        <v>96</v>
      </c>
      <c r="K14" s="7" t="s">
        <v>122</v>
      </c>
      <c r="L14" s="32" t="s">
        <v>40</v>
      </c>
      <c r="M14" s="49" t="s">
        <v>2</v>
      </c>
      <c r="N14" s="32" t="s">
        <v>20</v>
      </c>
      <c r="O14" s="53"/>
      <c r="P14" s="45" t="s">
        <v>13</v>
      </c>
      <c r="Q14" s="36" t="s">
        <v>4</v>
      </c>
      <c r="S14" s="10"/>
      <c r="T14" s="10"/>
      <c r="U14" s="10"/>
      <c r="V14" s="10"/>
      <c r="W14" s="10"/>
      <c r="X14" s="10"/>
      <c r="Y14" s="10"/>
      <c r="Z14" s="10"/>
      <c r="AA14" s="10"/>
      <c r="AB14" s="10"/>
      <c r="AC14" s="10"/>
      <c r="AD14" s="10"/>
      <c r="AE14" s="10"/>
      <c r="AF14" s="10"/>
    </row>
    <row r="15" spans="1:32" ht="128" x14ac:dyDescent="0.2">
      <c r="A15" s="6" t="s">
        <v>354</v>
      </c>
      <c r="B15" s="6" t="s">
        <v>156</v>
      </c>
      <c r="C15" s="34">
        <v>1</v>
      </c>
      <c r="D15" s="6" t="s">
        <v>97</v>
      </c>
      <c r="E15" s="28" t="s">
        <v>98</v>
      </c>
      <c r="F15" s="7" t="s">
        <v>0</v>
      </c>
      <c r="G15" s="7" t="s">
        <v>101</v>
      </c>
      <c r="H15" s="7" t="s">
        <v>103</v>
      </c>
      <c r="I15" s="45" t="s">
        <v>127</v>
      </c>
      <c r="J15" s="7" t="s">
        <v>105</v>
      </c>
      <c r="K15" s="7" t="s">
        <v>126</v>
      </c>
      <c r="L15" s="32" t="s">
        <v>40</v>
      </c>
      <c r="M15" s="49" t="s">
        <v>2</v>
      </c>
      <c r="N15" s="32" t="s">
        <v>20</v>
      </c>
      <c r="O15" s="53" t="s">
        <v>128</v>
      </c>
      <c r="P15" s="45" t="s">
        <v>13</v>
      </c>
      <c r="Q15" s="36" t="s">
        <v>4</v>
      </c>
      <c r="S15" s="10"/>
      <c r="T15" s="10"/>
      <c r="U15" s="10"/>
      <c r="V15" s="10"/>
      <c r="W15" s="10"/>
      <c r="X15" s="10"/>
      <c r="Y15" s="10"/>
      <c r="Z15" s="10"/>
      <c r="AA15" s="10"/>
      <c r="AB15" s="10"/>
      <c r="AC15" s="10"/>
      <c r="AD15" s="10"/>
      <c r="AE15" s="10"/>
      <c r="AF15" s="10"/>
    </row>
    <row r="16" spans="1:32" ht="80" x14ac:dyDescent="0.2">
      <c r="A16" s="6" t="s">
        <v>355</v>
      </c>
      <c r="B16" s="6" t="s">
        <v>156</v>
      </c>
      <c r="C16" s="34">
        <v>1</v>
      </c>
      <c r="D16" s="6" t="s">
        <v>97</v>
      </c>
      <c r="E16" s="28" t="s">
        <v>99</v>
      </c>
      <c r="F16" s="7" t="s">
        <v>0</v>
      </c>
      <c r="G16" s="7" t="s">
        <v>148</v>
      </c>
      <c r="H16" s="7" t="s">
        <v>149</v>
      </c>
      <c r="I16" s="45" t="s">
        <v>150</v>
      </c>
      <c r="J16" s="7" t="s">
        <v>105</v>
      </c>
      <c r="K16" s="7" t="s">
        <v>151</v>
      </c>
      <c r="L16" s="32" t="s">
        <v>40</v>
      </c>
      <c r="M16" s="49" t="s">
        <v>2</v>
      </c>
      <c r="N16" s="32" t="s">
        <v>20</v>
      </c>
      <c r="O16" s="53"/>
      <c r="P16" s="45" t="s">
        <v>13</v>
      </c>
      <c r="Q16" s="36" t="s">
        <v>4</v>
      </c>
      <c r="S16" s="10"/>
      <c r="T16" s="10"/>
      <c r="U16" s="10"/>
      <c r="V16" s="10"/>
      <c r="W16" s="10"/>
      <c r="X16" s="10"/>
      <c r="Y16" s="10"/>
      <c r="Z16" s="10"/>
      <c r="AA16" s="10"/>
      <c r="AB16" s="10"/>
      <c r="AC16" s="10"/>
      <c r="AD16" s="10"/>
      <c r="AE16" s="10"/>
      <c r="AF16" s="10"/>
    </row>
    <row r="17" spans="1:32" ht="96" x14ac:dyDescent="0.2">
      <c r="A17" s="6" t="s">
        <v>356</v>
      </c>
      <c r="B17" s="6" t="s">
        <v>157</v>
      </c>
      <c r="C17" s="34">
        <v>1</v>
      </c>
      <c r="D17" s="6" t="s">
        <v>97</v>
      </c>
      <c r="E17" s="28" t="s">
        <v>100</v>
      </c>
      <c r="F17" s="7" t="s">
        <v>83</v>
      </c>
      <c r="G17" s="7" t="s">
        <v>102</v>
      </c>
      <c r="H17" s="7" t="s">
        <v>104</v>
      </c>
      <c r="I17" s="45" t="s">
        <v>130</v>
      </c>
      <c r="J17" s="7" t="s">
        <v>106</v>
      </c>
      <c r="K17" s="7" t="s">
        <v>129</v>
      </c>
      <c r="L17" s="32" t="s">
        <v>40</v>
      </c>
      <c r="M17" s="49" t="s">
        <v>2</v>
      </c>
      <c r="N17" s="32" t="s">
        <v>20</v>
      </c>
      <c r="O17" s="53"/>
      <c r="P17" s="45" t="s">
        <v>13</v>
      </c>
      <c r="Q17" s="36" t="s">
        <v>4</v>
      </c>
      <c r="S17" s="10"/>
      <c r="T17" s="10"/>
      <c r="U17" s="10"/>
      <c r="V17" s="10"/>
      <c r="W17" s="10"/>
      <c r="X17" s="10"/>
      <c r="Y17" s="10"/>
      <c r="Z17" s="10"/>
      <c r="AA17" s="10"/>
      <c r="AB17" s="10"/>
      <c r="AC17" s="10"/>
      <c r="AD17" s="10"/>
      <c r="AE17" s="10"/>
      <c r="AF17" s="10"/>
    </row>
    <row r="18" spans="1:32" s="100" customFormat="1" ht="240" x14ac:dyDescent="0.2">
      <c r="A18" s="102" t="s">
        <v>361</v>
      </c>
      <c r="B18" s="102" t="s">
        <v>362</v>
      </c>
      <c r="C18" s="103">
        <v>1</v>
      </c>
      <c r="D18" s="102" t="s">
        <v>363</v>
      </c>
      <c r="E18" s="104" t="s">
        <v>364</v>
      </c>
      <c r="F18" s="105" t="s">
        <v>16</v>
      </c>
      <c r="G18" s="105" t="s">
        <v>365</v>
      </c>
      <c r="H18" s="105" t="s">
        <v>366</v>
      </c>
      <c r="I18" s="105" t="s">
        <v>367</v>
      </c>
      <c r="J18" s="105" t="s">
        <v>368</v>
      </c>
      <c r="K18" s="105" t="s">
        <v>369</v>
      </c>
      <c r="L18" s="106" t="s">
        <v>40</v>
      </c>
      <c r="M18" s="106" t="s">
        <v>2</v>
      </c>
      <c r="N18" s="106" t="s">
        <v>20</v>
      </c>
      <c r="O18" s="104" t="s">
        <v>370</v>
      </c>
      <c r="P18" s="105" t="s">
        <v>13</v>
      </c>
      <c r="Q18" s="107" t="s">
        <v>18</v>
      </c>
      <c r="S18" s="101"/>
      <c r="T18" s="101"/>
      <c r="U18" s="101"/>
      <c r="V18" s="101"/>
      <c r="W18" s="101"/>
      <c r="X18" s="101"/>
      <c r="Y18" s="101"/>
      <c r="Z18" s="101"/>
      <c r="AA18" s="101"/>
      <c r="AB18" s="101"/>
      <c r="AC18" s="101"/>
      <c r="AD18" s="101"/>
      <c r="AE18" s="101"/>
      <c r="AF18" s="101"/>
    </row>
    <row r="19" spans="1:32" ht="176" x14ac:dyDescent="0.2">
      <c r="A19" s="6" t="s">
        <v>357</v>
      </c>
      <c r="B19" s="6" t="s">
        <v>158</v>
      </c>
      <c r="C19" s="34">
        <v>2</v>
      </c>
      <c r="D19" s="6" t="s">
        <v>167</v>
      </c>
      <c r="E19" s="28" t="s">
        <v>168</v>
      </c>
      <c r="F19" s="7" t="s">
        <v>0</v>
      </c>
      <c r="G19" s="7" t="s">
        <v>159</v>
      </c>
      <c r="H19" s="7" t="s">
        <v>160</v>
      </c>
      <c r="I19" s="45"/>
      <c r="J19" s="7" t="s">
        <v>161</v>
      </c>
      <c r="K19" s="7" t="s">
        <v>162</v>
      </c>
      <c r="L19" s="32" t="s">
        <v>163</v>
      </c>
      <c r="M19" s="49" t="s">
        <v>23</v>
      </c>
      <c r="N19" s="32" t="s">
        <v>8</v>
      </c>
      <c r="O19" s="53"/>
      <c r="P19" s="45" t="s">
        <v>13</v>
      </c>
      <c r="Q19" s="36" t="s">
        <v>18</v>
      </c>
      <c r="S19" s="10"/>
      <c r="T19" s="10"/>
      <c r="U19" s="10"/>
      <c r="V19" s="10"/>
      <c r="W19" s="10"/>
      <c r="X19" s="10"/>
      <c r="Y19" s="10"/>
      <c r="Z19" s="10"/>
      <c r="AA19" s="10"/>
      <c r="AB19" s="10"/>
      <c r="AC19" s="10"/>
      <c r="AD19" s="10"/>
      <c r="AE19" s="10"/>
      <c r="AF19" s="10"/>
    </row>
    <row r="20" spans="1:32" ht="112" x14ac:dyDescent="0.2">
      <c r="A20" s="6" t="s">
        <v>164</v>
      </c>
      <c r="B20" s="6" t="s">
        <v>158</v>
      </c>
      <c r="C20" s="34">
        <v>2</v>
      </c>
      <c r="D20" s="6" t="s">
        <v>165</v>
      </c>
      <c r="E20" s="28" t="s">
        <v>166</v>
      </c>
      <c r="F20" s="7" t="s">
        <v>0</v>
      </c>
      <c r="G20" s="7" t="s">
        <v>169</v>
      </c>
      <c r="H20" s="7" t="s">
        <v>170</v>
      </c>
      <c r="I20" s="45"/>
      <c r="J20" s="7" t="s">
        <v>171</v>
      </c>
      <c r="K20" s="7" t="s">
        <v>172</v>
      </c>
      <c r="L20" s="32" t="s">
        <v>163</v>
      </c>
      <c r="M20" s="49" t="s">
        <v>23</v>
      </c>
      <c r="N20" s="32" t="s">
        <v>8</v>
      </c>
      <c r="O20" s="53"/>
      <c r="P20" s="45" t="s">
        <v>13</v>
      </c>
      <c r="Q20" s="36" t="s">
        <v>4</v>
      </c>
      <c r="S20" s="39"/>
      <c r="T20" s="39"/>
      <c r="U20" s="39"/>
      <c r="V20" s="39"/>
      <c r="W20" s="39"/>
      <c r="X20" s="39"/>
      <c r="Y20" s="39"/>
      <c r="Z20" s="39"/>
      <c r="AA20" s="39"/>
      <c r="AB20" s="39"/>
      <c r="AC20" s="39"/>
      <c r="AD20" s="39"/>
      <c r="AE20" s="39"/>
      <c r="AF20" s="39"/>
    </row>
    <row r="21" spans="1:32" ht="176" x14ac:dyDescent="0.2">
      <c r="A21" s="6" t="s">
        <v>173</v>
      </c>
      <c r="B21" s="6" t="s">
        <v>158</v>
      </c>
      <c r="C21" s="34">
        <v>2</v>
      </c>
      <c r="D21" s="6" t="s">
        <v>174</v>
      </c>
      <c r="E21" s="28" t="s">
        <v>175</v>
      </c>
      <c r="F21" s="7" t="s">
        <v>0</v>
      </c>
      <c r="G21" s="7" t="s">
        <v>177</v>
      </c>
      <c r="H21" s="7" t="s">
        <v>176</v>
      </c>
      <c r="I21" s="45"/>
      <c r="J21" s="7" t="s">
        <v>178</v>
      </c>
      <c r="K21" s="7" t="s">
        <v>179</v>
      </c>
      <c r="L21" s="32" t="s">
        <v>163</v>
      </c>
      <c r="M21" s="49" t="s">
        <v>23</v>
      </c>
      <c r="N21" s="32" t="s">
        <v>8</v>
      </c>
      <c r="O21" s="53"/>
      <c r="P21" s="45" t="s">
        <v>13</v>
      </c>
      <c r="Q21" s="36" t="s">
        <v>18</v>
      </c>
      <c r="S21" s="39"/>
      <c r="T21" s="39"/>
      <c r="U21" s="39"/>
      <c r="V21" s="39"/>
      <c r="W21" s="39"/>
      <c r="X21" s="39"/>
      <c r="Y21" s="39"/>
      <c r="Z21" s="39"/>
      <c r="AA21" s="39"/>
      <c r="AB21" s="39"/>
      <c r="AC21" s="39"/>
      <c r="AD21" s="39"/>
      <c r="AE21" s="39"/>
      <c r="AF21" s="39"/>
    </row>
    <row r="22" spans="1:32" ht="208" x14ac:dyDescent="0.2">
      <c r="A22" s="6" t="s">
        <v>180</v>
      </c>
      <c r="B22" s="6" t="s">
        <v>158</v>
      </c>
      <c r="C22" s="34">
        <v>2</v>
      </c>
      <c r="D22" s="6" t="s">
        <v>181</v>
      </c>
      <c r="E22" s="28" t="s">
        <v>182</v>
      </c>
      <c r="F22" s="7" t="s">
        <v>0</v>
      </c>
      <c r="G22" s="7" t="s">
        <v>184</v>
      </c>
      <c r="H22" s="7" t="s">
        <v>183</v>
      </c>
      <c r="I22" s="45"/>
      <c r="J22" s="7" t="s">
        <v>185</v>
      </c>
      <c r="K22" s="7" t="s">
        <v>186</v>
      </c>
      <c r="L22" s="32" t="s">
        <v>163</v>
      </c>
      <c r="M22" s="49" t="s">
        <v>23</v>
      </c>
      <c r="N22" s="32" t="s">
        <v>8</v>
      </c>
      <c r="O22" s="53"/>
      <c r="P22" s="45" t="s">
        <v>13</v>
      </c>
      <c r="Q22" s="36" t="s">
        <v>4</v>
      </c>
      <c r="S22" s="39"/>
      <c r="T22" s="39"/>
      <c r="U22" s="39"/>
      <c r="V22" s="39"/>
      <c r="W22" s="39"/>
      <c r="X22" s="39"/>
      <c r="Y22" s="39"/>
      <c r="Z22" s="39"/>
      <c r="AA22" s="39"/>
      <c r="AB22" s="39"/>
      <c r="AC22" s="39"/>
      <c r="AD22" s="39"/>
      <c r="AE22" s="39"/>
      <c r="AF22" s="39"/>
    </row>
    <row r="23" spans="1:32" ht="144" x14ac:dyDescent="0.2">
      <c r="A23" s="6" t="s">
        <v>187</v>
      </c>
      <c r="B23" s="6" t="s">
        <v>207</v>
      </c>
      <c r="C23" s="34">
        <v>2</v>
      </c>
      <c r="D23" s="6" t="s">
        <v>208</v>
      </c>
      <c r="E23" s="28" t="s">
        <v>209</v>
      </c>
      <c r="F23" s="7" t="s">
        <v>0</v>
      </c>
      <c r="G23" s="7" t="s">
        <v>210</v>
      </c>
      <c r="H23" s="7" t="s">
        <v>211</v>
      </c>
      <c r="I23" s="45"/>
      <c r="J23" s="7" t="s">
        <v>212</v>
      </c>
      <c r="K23" s="7" t="s">
        <v>213</v>
      </c>
      <c r="L23" s="32" t="s">
        <v>163</v>
      </c>
      <c r="M23" s="49" t="s">
        <v>23</v>
      </c>
      <c r="N23" s="32" t="s">
        <v>20</v>
      </c>
      <c r="O23" s="53"/>
      <c r="P23" s="45" t="s">
        <v>13</v>
      </c>
      <c r="Q23" s="36" t="s">
        <v>18</v>
      </c>
      <c r="S23" s="39"/>
      <c r="T23" s="39"/>
      <c r="U23" s="39"/>
      <c r="V23" s="39"/>
      <c r="W23" s="39"/>
      <c r="X23" s="39"/>
      <c r="Y23" s="39"/>
      <c r="Z23" s="39"/>
      <c r="AA23" s="39"/>
      <c r="AB23" s="39"/>
      <c r="AC23" s="39"/>
      <c r="AD23" s="39"/>
      <c r="AE23" s="39"/>
      <c r="AF23" s="39"/>
    </row>
    <row r="24" spans="1:32" ht="80" x14ac:dyDescent="0.2">
      <c r="A24" s="6" t="s">
        <v>188</v>
      </c>
      <c r="B24" s="6" t="s">
        <v>207</v>
      </c>
      <c r="C24" s="34">
        <v>2</v>
      </c>
      <c r="D24" s="6" t="s">
        <v>214</v>
      </c>
      <c r="E24" s="28" t="s">
        <v>215</v>
      </c>
      <c r="F24" s="7" t="s">
        <v>0</v>
      </c>
      <c r="G24" s="7" t="s">
        <v>219</v>
      </c>
      <c r="H24" s="7" t="s">
        <v>216</v>
      </c>
      <c r="I24" s="45"/>
      <c r="J24" s="7" t="s">
        <v>217</v>
      </c>
      <c r="K24" s="7" t="s">
        <v>218</v>
      </c>
      <c r="L24" s="32" t="s">
        <v>163</v>
      </c>
      <c r="M24" s="49" t="s">
        <v>23</v>
      </c>
      <c r="N24" s="32" t="s">
        <v>8</v>
      </c>
      <c r="O24" s="53"/>
      <c r="P24" s="45" t="s">
        <v>13</v>
      </c>
      <c r="Q24" s="36" t="s">
        <v>25</v>
      </c>
      <c r="S24" s="39"/>
      <c r="T24" s="39"/>
      <c r="U24" s="39"/>
      <c r="V24" s="39"/>
      <c r="W24" s="39"/>
      <c r="X24" s="39"/>
      <c r="Y24" s="39"/>
      <c r="Z24" s="39"/>
      <c r="AA24" s="39"/>
      <c r="AB24" s="39"/>
      <c r="AC24" s="39"/>
      <c r="AD24" s="39"/>
      <c r="AE24" s="39"/>
      <c r="AF24" s="39"/>
    </row>
    <row r="25" spans="1:32" ht="128" x14ac:dyDescent="0.2">
      <c r="A25" s="6" t="s">
        <v>189</v>
      </c>
      <c r="B25" s="6" t="s">
        <v>220</v>
      </c>
      <c r="C25" s="34">
        <v>2</v>
      </c>
      <c r="D25" s="6" t="s">
        <v>221</v>
      </c>
      <c r="E25" s="28" t="s">
        <v>222</v>
      </c>
      <c r="F25" s="7" t="s">
        <v>0</v>
      </c>
      <c r="G25" s="7" t="s">
        <v>223</v>
      </c>
      <c r="H25" s="7" t="s">
        <v>224</v>
      </c>
      <c r="I25" s="45"/>
      <c r="J25" s="7" t="s">
        <v>230</v>
      </c>
      <c r="K25" s="7" t="s">
        <v>225</v>
      </c>
      <c r="L25" s="32" t="s">
        <v>163</v>
      </c>
      <c r="M25" s="49" t="s">
        <v>23</v>
      </c>
      <c r="N25" s="32" t="s">
        <v>8</v>
      </c>
      <c r="O25" s="53"/>
      <c r="P25" s="45" t="s">
        <v>13</v>
      </c>
      <c r="Q25" s="36" t="s">
        <v>18</v>
      </c>
      <c r="S25" s="39"/>
      <c r="T25" s="39"/>
      <c r="U25" s="39"/>
      <c r="V25" s="39"/>
      <c r="W25" s="39"/>
      <c r="X25" s="39"/>
      <c r="Y25" s="39"/>
      <c r="Z25" s="39"/>
      <c r="AA25" s="39"/>
      <c r="AB25" s="39"/>
      <c r="AC25" s="39"/>
      <c r="AD25" s="39"/>
      <c r="AE25" s="39"/>
      <c r="AF25" s="39"/>
    </row>
    <row r="26" spans="1:32" ht="112" x14ac:dyDescent="0.2">
      <c r="A26" s="6" t="s">
        <v>190</v>
      </c>
      <c r="B26" s="6" t="s">
        <v>220</v>
      </c>
      <c r="C26" s="34">
        <v>2</v>
      </c>
      <c r="D26" s="6" t="s">
        <v>226</v>
      </c>
      <c r="E26" s="28" t="s">
        <v>227</v>
      </c>
      <c r="F26" s="7" t="s">
        <v>0</v>
      </c>
      <c r="G26" s="7" t="s">
        <v>228</v>
      </c>
      <c r="H26" s="7" t="s">
        <v>229</v>
      </c>
      <c r="I26" s="45"/>
      <c r="J26" s="7" t="s">
        <v>231</v>
      </c>
      <c r="K26" s="7" t="s">
        <v>232</v>
      </c>
      <c r="L26" s="32" t="s">
        <v>163</v>
      </c>
      <c r="M26" s="49" t="s">
        <v>23</v>
      </c>
      <c r="N26" s="32" t="s">
        <v>8</v>
      </c>
      <c r="O26" s="53"/>
      <c r="P26" s="45" t="s">
        <v>13</v>
      </c>
      <c r="Q26" s="36" t="s">
        <v>18</v>
      </c>
      <c r="S26" s="39"/>
      <c r="T26" s="39"/>
      <c r="U26" s="39"/>
      <c r="V26" s="39"/>
      <c r="W26" s="39"/>
      <c r="X26" s="39"/>
      <c r="Y26" s="39"/>
      <c r="Z26" s="39"/>
      <c r="AA26" s="39"/>
      <c r="AB26" s="39"/>
      <c r="AC26" s="39"/>
      <c r="AD26" s="39"/>
      <c r="AE26" s="39"/>
      <c r="AF26" s="39"/>
    </row>
    <row r="27" spans="1:32" ht="112" x14ac:dyDescent="0.2">
      <c r="A27" s="6" t="s">
        <v>191</v>
      </c>
      <c r="B27" s="6" t="s">
        <v>220</v>
      </c>
      <c r="C27" s="34">
        <v>2</v>
      </c>
      <c r="D27" s="6" t="s">
        <v>233</v>
      </c>
      <c r="E27" s="28" t="s">
        <v>234</v>
      </c>
      <c r="F27" s="7" t="s">
        <v>0</v>
      </c>
      <c r="G27" s="7" t="s">
        <v>235</v>
      </c>
      <c r="H27" s="7" t="s">
        <v>236</v>
      </c>
      <c r="I27" s="45"/>
      <c r="J27" s="7" t="s">
        <v>237</v>
      </c>
      <c r="K27" s="7" t="s">
        <v>238</v>
      </c>
      <c r="L27" s="32" t="s">
        <v>163</v>
      </c>
      <c r="M27" s="49" t="s">
        <v>23</v>
      </c>
      <c r="N27" s="32" t="s">
        <v>20</v>
      </c>
      <c r="O27" s="53"/>
      <c r="P27" s="45" t="s">
        <v>13</v>
      </c>
      <c r="Q27" s="36" t="s">
        <v>18</v>
      </c>
      <c r="S27" s="39"/>
      <c r="T27" s="39"/>
      <c r="U27" s="39"/>
      <c r="V27" s="39"/>
      <c r="W27" s="39"/>
      <c r="X27" s="39"/>
      <c r="Y27" s="39"/>
      <c r="Z27" s="39"/>
      <c r="AA27" s="39"/>
      <c r="AB27" s="39"/>
      <c r="AC27" s="39"/>
      <c r="AD27" s="39"/>
      <c r="AE27" s="39"/>
      <c r="AF27" s="39"/>
    </row>
    <row r="28" spans="1:32" ht="192" x14ac:dyDescent="0.2">
      <c r="A28" s="6" t="s">
        <v>192</v>
      </c>
      <c r="B28" s="6" t="s">
        <v>239</v>
      </c>
      <c r="C28" s="34">
        <v>2</v>
      </c>
      <c r="D28" s="6" t="s">
        <v>241</v>
      </c>
      <c r="E28" s="28" t="s">
        <v>240</v>
      </c>
      <c r="F28" s="7" t="s">
        <v>0</v>
      </c>
      <c r="G28" s="7" t="s">
        <v>242</v>
      </c>
      <c r="H28" s="7" t="s">
        <v>245</v>
      </c>
      <c r="I28" s="45"/>
      <c r="J28" s="7" t="s">
        <v>246</v>
      </c>
      <c r="K28" s="7" t="s">
        <v>247</v>
      </c>
      <c r="L28" s="32" t="s">
        <v>163</v>
      </c>
      <c r="M28" s="49" t="s">
        <v>23</v>
      </c>
      <c r="N28" s="32" t="s">
        <v>20</v>
      </c>
      <c r="O28" s="53"/>
      <c r="P28" s="45" t="s">
        <v>13</v>
      </c>
      <c r="Q28" s="36" t="s">
        <v>18</v>
      </c>
      <c r="S28" s="39"/>
      <c r="T28" s="39"/>
      <c r="U28" s="39"/>
      <c r="V28" s="39"/>
      <c r="W28" s="39"/>
      <c r="X28" s="39"/>
      <c r="Y28" s="39"/>
      <c r="Z28" s="39"/>
      <c r="AA28" s="39"/>
      <c r="AB28" s="39"/>
      <c r="AC28" s="39"/>
      <c r="AD28" s="39"/>
      <c r="AE28" s="39"/>
      <c r="AF28" s="39"/>
    </row>
    <row r="29" spans="1:32" ht="224" x14ac:dyDescent="0.2">
      <c r="A29" s="6" t="s">
        <v>193</v>
      </c>
      <c r="B29" s="6" t="s">
        <v>239</v>
      </c>
      <c r="C29" s="34">
        <v>2</v>
      </c>
      <c r="D29" s="6" t="s">
        <v>250</v>
      </c>
      <c r="E29" s="28" t="s">
        <v>251</v>
      </c>
      <c r="F29" s="7" t="s">
        <v>0</v>
      </c>
      <c r="G29" s="7" t="s">
        <v>252</v>
      </c>
      <c r="H29" s="7" t="s">
        <v>253</v>
      </c>
      <c r="I29" s="45"/>
      <c r="J29" s="7" t="s">
        <v>254</v>
      </c>
      <c r="K29" s="7" t="s">
        <v>248</v>
      </c>
      <c r="L29" s="32" t="s">
        <v>163</v>
      </c>
      <c r="M29" s="49" t="s">
        <v>23</v>
      </c>
      <c r="N29" s="32" t="s">
        <v>20</v>
      </c>
      <c r="O29" s="53"/>
      <c r="P29" s="45" t="s">
        <v>13</v>
      </c>
      <c r="Q29" s="36" t="s">
        <v>18</v>
      </c>
      <c r="S29" s="39"/>
      <c r="T29" s="39"/>
      <c r="U29" s="39"/>
      <c r="V29" s="39"/>
      <c r="W29" s="39"/>
      <c r="X29" s="39"/>
      <c r="Y29" s="39"/>
      <c r="Z29" s="39"/>
      <c r="AA29" s="39"/>
      <c r="AB29" s="39"/>
      <c r="AC29" s="39"/>
      <c r="AD29" s="39"/>
      <c r="AE29" s="39"/>
      <c r="AF29" s="39"/>
    </row>
    <row r="30" spans="1:32" ht="144" x14ac:dyDescent="0.2">
      <c r="A30" s="6" t="s">
        <v>194</v>
      </c>
      <c r="B30" s="6" t="s">
        <v>239</v>
      </c>
      <c r="C30" s="34">
        <v>2</v>
      </c>
      <c r="D30" s="6" t="s">
        <v>255</v>
      </c>
      <c r="E30" s="28" t="s">
        <v>249</v>
      </c>
      <c r="F30" s="7" t="s">
        <v>0</v>
      </c>
      <c r="G30" s="7" t="s">
        <v>256</v>
      </c>
      <c r="H30" s="7" t="s">
        <v>257</v>
      </c>
      <c r="I30" s="45"/>
      <c r="J30" s="7" t="s">
        <v>258</v>
      </c>
      <c r="K30" s="7" t="s">
        <v>259</v>
      </c>
      <c r="L30" s="32" t="s">
        <v>163</v>
      </c>
      <c r="M30" s="49" t="s">
        <v>23</v>
      </c>
      <c r="N30" s="32" t="s">
        <v>20</v>
      </c>
      <c r="O30" s="53"/>
      <c r="P30" s="45" t="s">
        <v>13</v>
      </c>
      <c r="Q30" s="36" t="s">
        <v>18</v>
      </c>
      <c r="S30" s="39"/>
      <c r="T30" s="39"/>
      <c r="U30" s="39"/>
      <c r="V30" s="39"/>
      <c r="W30" s="39"/>
      <c r="X30" s="39"/>
      <c r="Y30" s="39"/>
      <c r="Z30" s="39"/>
      <c r="AA30" s="39"/>
      <c r="AB30" s="39"/>
      <c r="AC30" s="39"/>
      <c r="AD30" s="39"/>
      <c r="AE30" s="39"/>
      <c r="AF30" s="39"/>
    </row>
    <row r="31" spans="1:32" ht="128" x14ac:dyDescent="0.2">
      <c r="A31" s="6" t="s">
        <v>195</v>
      </c>
      <c r="B31" s="6" t="s">
        <v>260</v>
      </c>
      <c r="C31" s="34">
        <v>2</v>
      </c>
      <c r="D31" s="6" t="s">
        <v>261</v>
      </c>
      <c r="E31" s="28" t="s">
        <v>262</v>
      </c>
      <c r="F31" s="7" t="s">
        <v>0</v>
      </c>
      <c r="G31" s="7" t="s">
        <v>359</v>
      </c>
      <c r="H31" s="7" t="s">
        <v>263</v>
      </c>
      <c r="I31" s="45"/>
      <c r="J31" s="7" t="s">
        <v>268</v>
      </c>
      <c r="K31" s="7" t="s">
        <v>264</v>
      </c>
      <c r="L31" s="32" t="s">
        <v>163</v>
      </c>
      <c r="M31" s="49" t="s">
        <v>23</v>
      </c>
      <c r="N31" s="32" t="s">
        <v>20</v>
      </c>
      <c r="O31" s="53"/>
      <c r="P31" s="45" t="s">
        <v>13</v>
      </c>
      <c r="Q31" s="36" t="s">
        <v>18</v>
      </c>
      <c r="S31" s="39"/>
      <c r="T31" s="39"/>
      <c r="U31" s="39"/>
      <c r="V31" s="39"/>
      <c r="W31" s="39"/>
      <c r="X31" s="39"/>
      <c r="Y31" s="39"/>
      <c r="Z31" s="39"/>
      <c r="AA31" s="39"/>
      <c r="AB31" s="39"/>
      <c r="AC31" s="39"/>
      <c r="AD31" s="39"/>
      <c r="AE31" s="39"/>
      <c r="AF31" s="39"/>
    </row>
    <row r="32" spans="1:32" ht="112" x14ac:dyDescent="0.2">
      <c r="A32" s="6" t="s">
        <v>196</v>
      </c>
      <c r="B32" s="6" t="s">
        <v>260</v>
      </c>
      <c r="C32" s="34">
        <v>2</v>
      </c>
      <c r="D32" s="6" t="s">
        <v>265</v>
      </c>
      <c r="E32" s="28" t="s">
        <v>266</v>
      </c>
      <c r="F32" s="7" t="s">
        <v>0</v>
      </c>
      <c r="G32" s="7" t="s">
        <v>360</v>
      </c>
      <c r="H32" s="7" t="s">
        <v>267</v>
      </c>
      <c r="I32" s="45"/>
      <c r="J32" s="7" t="s">
        <v>269</v>
      </c>
      <c r="K32" s="7" t="s">
        <v>270</v>
      </c>
      <c r="L32" s="32" t="s">
        <v>163</v>
      </c>
      <c r="M32" s="49" t="s">
        <v>23</v>
      </c>
      <c r="N32" s="32" t="s">
        <v>20</v>
      </c>
      <c r="O32" s="53"/>
      <c r="P32" s="45" t="s">
        <v>13</v>
      </c>
      <c r="Q32" s="36" t="s">
        <v>18</v>
      </c>
      <c r="S32" s="39"/>
      <c r="T32" s="39"/>
      <c r="U32" s="39"/>
      <c r="V32" s="39"/>
      <c r="W32" s="39"/>
      <c r="X32" s="39"/>
      <c r="Y32" s="39"/>
      <c r="Z32" s="39"/>
      <c r="AA32" s="39"/>
      <c r="AB32" s="39"/>
      <c r="AC32" s="39"/>
      <c r="AD32" s="39"/>
      <c r="AE32" s="39"/>
      <c r="AF32" s="39"/>
    </row>
    <row r="33" spans="1:32" ht="112" x14ac:dyDescent="0.2">
      <c r="A33" s="6" t="s">
        <v>197</v>
      </c>
      <c r="B33" s="6" t="s">
        <v>260</v>
      </c>
      <c r="C33" s="34">
        <v>2</v>
      </c>
      <c r="D33" s="6" t="s">
        <v>271</v>
      </c>
      <c r="E33" s="28" t="s">
        <v>272</v>
      </c>
      <c r="F33" s="7" t="s">
        <v>0</v>
      </c>
      <c r="G33" s="7" t="s">
        <v>273</v>
      </c>
      <c r="H33" s="7" t="s">
        <v>274</v>
      </c>
      <c r="I33" s="45"/>
      <c r="J33" s="7" t="s">
        <v>275</v>
      </c>
      <c r="K33" s="7" t="s">
        <v>276</v>
      </c>
      <c r="L33" s="32" t="s">
        <v>163</v>
      </c>
      <c r="M33" s="49" t="s">
        <v>23</v>
      </c>
      <c r="N33" s="32" t="s">
        <v>20</v>
      </c>
      <c r="O33" s="53"/>
      <c r="P33" s="45" t="s">
        <v>13</v>
      </c>
      <c r="Q33" s="36" t="s">
        <v>25</v>
      </c>
      <c r="S33" s="39"/>
      <c r="T33" s="39"/>
      <c r="U33" s="39"/>
      <c r="V33" s="39"/>
      <c r="W33" s="39"/>
      <c r="X33" s="39"/>
      <c r="Y33" s="39"/>
      <c r="Z33" s="39"/>
      <c r="AA33" s="39"/>
      <c r="AB33" s="39"/>
      <c r="AC33" s="39"/>
      <c r="AD33" s="39"/>
      <c r="AE33" s="39"/>
      <c r="AF33" s="39"/>
    </row>
    <row r="34" spans="1:32" ht="128" x14ac:dyDescent="0.2">
      <c r="A34" s="6" t="s">
        <v>198</v>
      </c>
      <c r="B34" s="6" t="s">
        <v>277</v>
      </c>
      <c r="C34" s="34">
        <v>2</v>
      </c>
      <c r="D34" s="6" t="s">
        <v>278</v>
      </c>
      <c r="E34" s="28" t="s">
        <v>279</v>
      </c>
      <c r="F34" s="7" t="s">
        <v>0</v>
      </c>
      <c r="G34" s="7" t="s">
        <v>280</v>
      </c>
      <c r="H34" s="7" t="s">
        <v>281</v>
      </c>
      <c r="I34" s="45"/>
      <c r="J34" s="7" t="s">
        <v>282</v>
      </c>
      <c r="K34" s="7" t="s">
        <v>283</v>
      </c>
      <c r="L34" s="32" t="s">
        <v>163</v>
      </c>
      <c r="M34" s="49" t="s">
        <v>23</v>
      </c>
      <c r="N34" s="32" t="s">
        <v>20</v>
      </c>
      <c r="O34" s="53"/>
      <c r="P34" s="45" t="s">
        <v>13</v>
      </c>
      <c r="Q34" s="36" t="s">
        <v>18</v>
      </c>
      <c r="S34" s="39"/>
      <c r="T34" s="39"/>
      <c r="U34" s="39"/>
      <c r="V34" s="39"/>
      <c r="W34" s="39"/>
      <c r="X34" s="39"/>
      <c r="Y34" s="39"/>
      <c r="Z34" s="39"/>
      <c r="AA34" s="39"/>
      <c r="AB34" s="39"/>
      <c r="AC34" s="39"/>
      <c r="AD34" s="39"/>
      <c r="AE34" s="39"/>
      <c r="AF34" s="39"/>
    </row>
    <row r="35" spans="1:32" ht="144" x14ac:dyDescent="0.2">
      <c r="A35" s="6" t="s">
        <v>199</v>
      </c>
      <c r="B35" s="6" t="s">
        <v>277</v>
      </c>
      <c r="C35" s="34">
        <v>2</v>
      </c>
      <c r="D35" s="6" t="s">
        <v>284</v>
      </c>
      <c r="E35" s="28" t="s">
        <v>285</v>
      </c>
      <c r="F35" s="7" t="s">
        <v>0</v>
      </c>
      <c r="G35" s="7" t="s">
        <v>286</v>
      </c>
      <c r="H35" s="7" t="s">
        <v>287</v>
      </c>
      <c r="I35" s="45"/>
      <c r="J35" s="7" t="s">
        <v>288</v>
      </c>
      <c r="K35" s="7" t="s">
        <v>289</v>
      </c>
      <c r="L35" s="32" t="s">
        <v>163</v>
      </c>
      <c r="M35" s="49" t="s">
        <v>23</v>
      </c>
      <c r="N35" s="32" t="s">
        <v>20</v>
      </c>
      <c r="O35" s="53"/>
      <c r="P35" s="45" t="s">
        <v>13</v>
      </c>
      <c r="Q35" s="36" t="s">
        <v>25</v>
      </c>
      <c r="S35" s="39"/>
      <c r="T35" s="39"/>
      <c r="U35" s="39"/>
      <c r="V35" s="39"/>
      <c r="W35" s="39"/>
      <c r="X35" s="39"/>
      <c r="Y35" s="39"/>
      <c r="Z35" s="39"/>
      <c r="AA35" s="39"/>
      <c r="AB35" s="39"/>
      <c r="AC35" s="39"/>
      <c r="AD35" s="39"/>
      <c r="AE35" s="39"/>
      <c r="AF35" s="39"/>
    </row>
    <row r="36" spans="1:32" ht="128" x14ac:dyDescent="0.2">
      <c r="A36" s="6" t="s">
        <v>200</v>
      </c>
      <c r="B36" s="6" t="s">
        <v>290</v>
      </c>
      <c r="C36" s="34">
        <v>2</v>
      </c>
      <c r="D36" s="6" t="s">
        <v>291</v>
      </c>
      <c r="E36" s="28" t="s">
        <v>292</v>
      </c>
      <c r="F36" s="7" t="s">
        <v>0</v>
      </c>
      <c r="G36" s="7" t="s">
        <v>293</v>
      </c>
      <c r="H36" s="7" t="s">
        <v>294</v>
      </c>
      <c r="I36" s="45"/>
      <c r="J36" s="7" t="s">
        <v>295</v>
      </c>
      <c r="K36" s="7" t="s">
        <v>296</v>
      </c>
      <c r="L36" s="32" t="s">
        <v>163</v>
      </c>
      <c r="M36" s="49" t="s">
        <v>23</v>
      </c>
      <c r="N36" s="32" t="s">
        <v>20</v>
      </c>
      <c r="O36" s="53"/>
      <c r="P36" s="45" t="s">
        <v>13</v>
      </c>
      <c r="Q36" s="36" t="s">
        <v>18</v>
      </c>
      <c r="S36" s="39"/>
      <c r="T36" s="39"/>
      <c r="U36" s="39"/>
      <c r="V36" s="39"/>
      <c r="W36" s="39"/>
      <c r="X36" s="39"/>
      <c r="Y36" s="39"/>
      <c r="Z36" s="39"/>
      <c r="AA36" s="39"/>
      <c r="AB36" s="39"/>
      <c r="AC36" s="39"/>
      <c r="AD36" s="39"/>
      <c r="AE36" s="39"/>
      <c r="AF36" s="39"/>
    </row>
    <row r="37" spans="1:32" ht="80" x14ac:dyDescent="0.2">
      <c r="A37" s="6" t="s">
        <v>201</v>
      </c>
      <c r="B37" s="6" t="s">
        <v>290</v>
      </c>
      <c r="C37" s="34">
        <v>2</v>
      </c>
      <c r="D37" s="6" t="s">
        <v>297</v>
      </c>
      <c r="E37" s="28" t="s">
        <v>298</v>
      </c>
      <c r="F37" s="7" t="s">
        <v>0</v>
      </c>
      <c r="G37" s="7" t="s">
        <v>299</v>
      </c>
      <c r="H37" s="7" t="s">
        <v>300</v>
      </c>
      <c r="I37" s="45"/>
      <c r="J37" s="7" t="s">
        <v>301</v>
      </c>
      <c r="K37" s="7" t="s">
        <v>302</v>
      </c>
      <c r="L37" s="32" t="s">
        <v>163</v>
      </c>
      <c r="M37" s="49" t="s">
        <v>23</v>
      </c>
      <c r="N37" s="32" t="s">
        <v>20</v>
      </c>
      <c r="O37" s="53"/>
      <c r="P37" s="45" t="s">
        <v>13</v>
      </c>
      <c r="Q37" s="36" t="s">
        <v>25</v>
      </c>
      <c r="S37" s="39"/>
      <c r="T37" s="39"/>
      <c r="U37" s="39"/>
      <c r="V37" s="39"/>
      <c r="W37" s="39"/>
      <c r="X37" s="39"/>
      <c r="Y37" s="39"/>
      <c r="Z37" s="39"/>
      <c r="AA37" s="39"/>
      <c r="AB37" s="39"/>
      <c r="AC37" s="39"/>
      <c r="AD37" s="39"/>
      <c r="AE37" s="39"/>
      <c r="AF37" s="39"/>
    </row>
    <row r="38" spans="1:32" ht="208" x14ac:dyDescent="0.2">
      <c r="A38" s="6" t="s">
        <v>202</v>
      </c>
      <c r="B38" s="6" t="s">
        <v>303</v>
      </c>
      <c r="C38" s="34">
        <v>2</v>
      </c>
      <c r="D38" s="6" t="s">
        <v>304</v>
      </c>
      <c r="E38" s="28" t="s">
        <v>305</v>
      </c>
      <c r="F38" s="7" t="s">
        <v>0</v>
      </c>
      <c r="G38" s="7" t="s">
        <v>306</v>
      </c>
      <c r="H38" s="7" t="s">
        <v>307</v>
      </c>
      <c r="I38" s="45"/>
      <c r="J38" s="7" t="s">
        <v>308</v>
      </c>
      <c r="K38" s="7" t="s">
        <v>309</v>
      </c>
      <c r="L38" s="32" t="s">
        <v>163</v>
      </c>
      <c r="M38" s="49" t="s">
        <v>23</v>
      </c>
      <c r="N38" s="32" t="s">
        <v>20</v>
      </c>
      <c r="O38" s="53"/>
      <c r="P38" s="45" t="s">
        <v>13</v>
      </c>
      <c r="Q38" s="36" t="s">
        <v>18</v>
      </c>
      <c r="S38" s="39"/>
      <c r="T38" s="39"/>
      <c r="U38" s="39"/>
      <c r="V38" s="39"/>
      <c r="W38" s="39"/>
      <c r="X38" s="39"/>
      <c r="Y38" s="39"/>
      <c r="Z38" s="39"/>
      <c r="AA38" s="39"/>
      <c r="AB38" s="39"/>
      <c r="AC38" s="39"/>
      <c r="AD38" s="39"/>
      <c r="AE38" s="39"/>
      <c r="AF38" s="39"/>
    </row>
    <row r="39" spans="1:32" ht="144" x14ac:dyDescent="0.2">
      <c r="A39" s="6" t="s">
        <v>203</v>
      </c>
      <c r="B39" s="6" t="s">
        <v>303</v>
      </c>
      <c r="C39" s="34">
        <v>2</v>
      </c>
      <c r="D39" s="6" t="s">
        <v>310</v>
      </c>
      <c r="E39" s="28" t="s">
        <v>311</v>
      </c>
      <c r="F39" s="7" t="s">
        <v>0</v>
      </c>
      <c r="G39" s="7" t="s">
        <v>312</v>
      </c>
      <c r="H39" s="7" t="s">
        <v>313</v>
      </c>
      <c r="I39" s="45"/>
      <c r="J39" s="7" t="s">
        <v>314</v>
      </c>
      <c r="K39" s="7" t="s">
        <v>315</v>
      </c>
      <c r="L39" s="32" t="s">
        <v>163</v>
      </c>
      <c r="M39" s="49" t="s">
        <v>23</v>
      </c>
      <c r="N39" s="32" t="s">
        <v>20</v>
      </c>
      <c r="O39" s="53"/>
      <c r="P39" s="45" t="s">
        <v>13</v>
      </c>
      <c r="Q39" s="36" t="s">
        <v>18</v>
      </c>
      <c r="S39" s="39"/>
      <c r="T39" s="39"/>
      <c r="U39" s="39"/>
      <c r="V39" s="39"/>
      <c r="W39" s="39"/>
      <c r="X39" s="39"/>
      <c r="Y39" s="39"/>
      <c r="Z39" s="39"/>
      <c r="AA39" s="39"/>
      <c r="AB39" s="39"/>
      <c r="AC39" s="39"/>
      <c r="AD39" s="39"/>
      <c r="AE39" s="39"/>
      <c r="AF39" s="39"/>
    </row>
    <row r="40" spans="1:32" ht="224" x14ac:dyDescent="0.2">
      <c r="A40" s="6" t="s">
        <v>204</v>
      </c>
      <c r="B40" s="6" t="s">
        <v>316</v>
      </c>
      <c r="C40" s="34">
        <v>2</v>
      </c>
      <c r="D40" s="6" t="s">
        <v>317</v>
      </c>
      <c r="E40" s="28" t="s">
        <v>318</v>
      </c>
      <c r="F40" s="7" t="s">
        <v>0</v>
      </c>
      <c r="G40" s="7" t="s">
        <v>319</v>
      </c>
      <c r="H40" s="7" t="s">
        <v>320</v>
      </c>
      <c r="I40" s="45"/>
      <c r="J40" s="7" t="s">
        <v>321</v>
      </c>
      <c r="K40" s="7" t="s">
        <v>322</v>
      </c>
      <c r="L40" s="32" t="s">
        <v>163</v>
      </c>
      <c r="M40" s="49" t="s">
        <v>23</v>
      </c>
      <c r="N40" s="32" t="s">
        <v>20</v>
      </c>
      <c r="O40" s="53"/>
      <c r="P40" s="45" t="s">
        <v>13</v>
      </c>
      <c r="Q40" s="36" t="s">
        <v>18</v>
      </c>
      <c r="S40" s="39"/>
      <c r="T40" s="39"/>
      <c r="U40" s="39"/>
      <c r="V40" s="39"/>
      <c r="W40" s="39"/>
      <c r="X40" s="39"/>
      <c r="Y40" s="39"/>
      <c r="Z40" s="39"/>
      <c r="AA40" s="39"/>
      <c r="AB40" s="39"/>
      <c r="AC40" s="39"/>
      <c r="AD40" s="39"/>
      <c r="AE40" s="39"/>
      <c r="AF40" s="39"/>
    </row>
    <row r="41" spans="1:32" ht="96" x14ac:dyDescent="0.2">
      <c r="A41" s="6" t="s">
        <v>340</v>
      </c>
      <c r="B41" s="6" t="s">
        <v>316</v>
      </c>
      <c r="C41" s="34">
        <v>2</v>
      </c>
      <c r="D41" s="6" t="s">
        <v>323</v>
      </c>
      <c r="E41" s="28" t="s">
        <v>324</v>
      </c>
      <c r="F41" s="7" t="s">
        <v>0</v>
      </c>
      <c r="G41" s="7" t="s">
        <v>325</v>
      </c>
      <c r="H41" s="7" t="s">
        <v>326</v>
      </c>
      <c r="I41" s="45"/>
      <c r="J41" s="7" t="s">
        <v>327</v>
      </c>
      <c r="K41" s="7" t="s">
        <v>328</v>
      </c>
      <c r="L41" s="32" t="s">
        <v>163</v>
      </c>
      <c r="M41" s="49" t="s">
        <v>23</v>
      </c>
      <c r="N41" s="32" t="s">
        <v>20</v>
      </c>
      <c r="O41" s="53"/>
      <c r="P41" s="45" t="s">
        <v>13</v>
      </c>
      <c r="Q41" s="36" t="s">
        <v>25</v>
      </c>
      <c r="S41" s="39"/>
      <c r="T41" s="39"/>
      <c r="U41" s="39"/>
      <c r="V41" s="39"/>
      <c r="W41" s="39"/>
      <c r="X41" s="39"/>
      <c r="Y41" s="39"/>
      <c r="Z41" s="39"/>
      <c r="AA41" s="39"/>
      <c r="AB41" s="39"/>
      <c r="AC41" s="39"/>
      <c r="AD41" s="39"/>
      <c r="AE41" s="39"/>
      <c r="AF41" s="39"/>
    </row>
    <row r="42" spans="1:32" ht="208" x14ac:dyDescent="0.2">
      <c r="A42" s="6" t="s">
        <v>205</v>
      </c>
      <c r="B42" s="6" t="s">
        <v>329</v>
      </c>
      <c r="C42" s="34">
        <v>2</v>
      </c>
      <c r="D42" s="6" t="s">
        <v>330</v>
      </c>
      <c r="E42" s="28" t="s">
        <v>331</v>
      </c>
      <c r="F42" s="7" t="s">
        <v>0</v>
      </c>
      <c r="G42" s="7" t="s">
        <v>332</v>
      </c>
      <c r="H42" s="7" t="s">
        <v>333</v>
      </c>
      <c r="I42" s="45"/>
      <c r="J42" s="7" t="s">
        <v>358</v>
      </c>
      <c r="K42" s="7" t="s">
        <v>334</v>
      </c>
      <c r="L42" s="32" t="s">
        <v>163</v>
      </c>
      <c r="M42" s="49" t="s">
        <v>23</v>
      </c>
      <c r="N42" s="32" t="s">
        <v>20</v>
      </c>
      <c r="O42" s="53"/>
      <c r="P42" s="45" t="s">
        <v>13</v>
      </c>
      <c r="Q42" s="36" t="s">
        <v>25</v>
      </c>
      <c r="S42" s="39"/>
      <c r="T42" s="39"/>
      <c r="U42" s="39"/>
      <c r="V42" s="39"/>
      <c r="W42" s="39"/>
      <c r="X42" s="39"/>
      <c r="Y42" s="39"/>
      <c r="Z42" s="39"/>
      <c r="AA42" s="39"/>
      <c r="AB42" s="39"/>
      <c r="AC42" s="39"/>
      <c r="AD42" s="39"/>
      <c r="AE42" s="39"/>
      <c r="AF42" s="39"/>
    </row>
    <row r="43" spans="1:32" ht="112" x14ac:dyDescent="0.2">
      <c r="A43" s="6" t="s">
        <v>206</v>
      </c>
      <c r="B43" s="6" t="s">
        <v>329</v>
      </c>
      <c r="C43" s="34">
        <v>2</v>
      </c>
      <c r="D43" s="6" t="s">
        <v>336</v>
      </c>
      <c r="E43" s="28" t="s">
        <v>335</v>
      </c>
      <c r="F43" s="7" t="s">
        <v>0</v>
      </c>
      <c r="G43" s="7" t="s">
        <v>337</v>
      </c>
      <c r="H43" s="7" t="s">
        <v>338</v>
      </c>
      <c r="I43" s="45"/>
      <c r="J43" s="7" t="s">
        <v>301</v>
      </c>
      <c r="K43" s="7" t="s">
        <v>339</v>
      </c>
      <c r="L43" s="32" t="s">
        <v>163</v>
      </c>
      <c r="M43" s="49" t="s">
        <v>23</v>
      </c>
      <c r="N43" s="32" t="s">
        <v>20</v>
      </c>
      <c r="O43" s="53"/>
      <c r="P43" s="45" t="s">
        <v>13</v>
      </c>
      <c r="Q43" s="36" t="s">
        <v>25</v>
      </c>
      <c r="S43" s="39"/>
      <c r="T43" s="39"/>
      <c r="U43" s="39"/>
      <c r="V43" s="39"/>
      <c r="W43" s="39"/>
      <c r="X43" s="39"/>
      <c r="Y43" s="39"/>
      <c r="Z43" s="39"/>
      <c r="AA43" s="39"/>
      <c r="AB43" s="39"/>
      <c r="AC43" s="39"/>
      <c r="AD43" s="39"/>
      <c r="AE43" s="39"/>
      <c r="AF43" s="39"/>
    </row>
    <row r="44" spans="1:32" ht="240" x14ac:dyDescent="0.2">
      <c r="A44" s="102" t="s">
        <v>371</v>
      </c>
      <c r="B44" s="102" t="s">
        <v>382</v>
      </c>
      <c r="C44" s="103">
        <v>2</v>
      </c>
      <c r="D44" s="102" t="s">
        <v>373</v>
      </c>
      <c r="E44" s="104" t="s">
        <v>372</v>
      </c>
      <c r="F44" s="105" t="s">
        <v>16</v>
      </c>
      <c r="G44" s="105" t="s">
        <v>374</v>
      </c>
      <c r="H44" s="105" t="s">
        <v>375</v>
      </c>
      <c r="I44" s="105"/>
      <c r="J44" s="105" t="s">
        <v>376</v>
      </c>
      <c r="K44" s="105" t="s">
        <v>377</v>
      </c>
      <c r="L44" s="106" t="s">
        <v>163</v>
      </c>
      <c r="M44" s="106" t="s">
        <v>23</v>
      </c>
      <c r="N44" s="106" t="s">
        <v>20</v>
      </c>
      <c r="O44" s="104" t="s">
        <v>378</v>
      </c>
      <c r="P44" s="105" t="s">
        <v>13</v>
      </c>
      <c r="Q44" s="107" t="s">
        <v>25</v>
      </c>
      <c r="S44" s="39"/>
      <c r="T44" s="39"/>
      <c r="U44" s="39"/>
      <c r="V44" s="39"/>
      <c r="W44" s="39"/>
      <c r="X44" s="39"/>
      <c r="Y44" s="39"/>
      <c r="Z44" s="39"/>
      <c r="AA44" s="39"/>
      <c r="AB44" s="39"/>
      <c r="AC44" s="39"/>
      <c r="AD44" s="39"/>
      <c r="AE44" s="39"/>
      <c r="AF44" s="39"/>
    </row>
    <row r="45" spans="1:32" ht="224" x14ac:dyDescent="0.2">
      <c r="A45" s="102" t="s">
        <v>379</v>
      </c>
      <c r="B45" s="102" t="s">
        <v>383</v>
      </c>
      <c r="C45" s="103">
        <v>2</v>
      </c>
      <c r="D45" s="102" t="s">
        <v>386</v>
      </c>
      <c r="E45" s="104" t="s">
        <v>387</v>
      </c>
      <c r="F45" s="105" t="s">
        <v>16</v>
      </c>
      <c r="G45" s="105" t="s">
        <v>388</v>
      </c>
      <c r="H45" s="105" t="s">
        <v>389</v>
      </c>
      <c r="I45" s="105"/>
      <c r="J45" s="105" t="s">
        <v>390</v>
      </c>
      <c r="K45" s="105" t="s">
        <v>391</v>
      </c>
      <c r="L45" s="106" t="s">
        <v>399</v>
      </c>
      <c r="M45" s="106" t="s">
        <v>23</v>
      </c>
      <c r="N45" s="106" t="s">
        <v>20</v>
      </c>
      <c r="O45" s="104" t="s">
        <v>392</v>
      </c>
      <c r="P45" s="105" t="s">
        <v>13</v>
      </c>
      <c r="Q45" s="107" t="s">
        <v>25</v>
      </c>
      <c r="S45" s="39"/>
      <c r="T45" s="39"/>
      <c r="U45" s="39"/>
      <c r="V45" s="39"/>
      <c r="W45" s="39"/>
      <c r="X45" s="39"/>
      <c r="Y45" s="39"/>
      <c r="Z45" s="39"/>
      <c r="AA45" s="39"/>
      <c r="AB45" s="39"/>
      <c r="AC45" s="39"/>
      <c r="AD45" s="39"/>
      <c r="AE45" s="39"/>
      <c r="AF45" s="39"/>
    </row>
    <row r="46" spans="1:32" ht="240" x14ac:dyDescent="0.2">
      <c r="A46" s="102" t="s">
        <v>380</v>
      </c>
      <c r="B46" s="102" t="s">
        <v>384</v>
      </c>
      <c r="C46" s="103">
        <v>2</v>
      </c>
      <c r="D46" s="102" t="s">
        <v>393</v>
      </c>
      <c r="E46" s="104" t="s">
        <v>394</v>
      </c>
      <c r="F46" s="105" t="s">
        <v>16</v>
      </c>
      <c r="G46" s="105" t="s">
        <v>395</v>
      </c>
      <c r="H46" s="105" t="s">
        <v>396</v>
      </c>
      <c r="I46" s="105"/>
      <c r="J46" s="105" t="s">
        <v>397</v>
      </c>
      <c r="K46" s="105" t="s">
        <v>398</v>
      </c>
      <c r="L46" s="106" t="s">
        <v>399</v>
      </c>
      <c r="M46" s="106" t="s">
        <v>23</v>
      </c>
      <c r="N46" s="106" t="s">
        <v>20</v>
      </c>
      <c r="O46" s="104" t="s">
        <v>400</v>
      </c>
      <c r="P46" s="105" t="s">
        <v>13</v>
      </c>
      <c r="Q46" s="107" t="s">
        <v>18</v>
      </c>
      <c r="S46" s="39"/>
      <c r="T46" s="39"/>
      <c r="U46" s="39"/>
      <c r="V46" s="39"/>
      <c r="W46" s="39"/>
      <c r="X46" s="39"/>
      <c r="Y46" s="39"/>
      <c r="Z46" s="39"/>
      <c r="AA46" s="39"/>
      <c r="AB46" s="39"/>
      <c r="AC46" s="39"/>
      <c r="AD46" s="39"/>
      <c r="AE46" s="39"/>
      <c r="AF46" s="39"/>
    </row>
    <row r="47" spans="1:32" ht="240" x14ac:dyDescent="0.2">
      <c r="A47" s="102" t="s">
        <v>381</v>
      </c>
      <c r="B47" s="102" t="s">
        <v>385</v>
      </c>
      <c r="C47" s="103">
        <v>2</v>
      </c>
      <c r="D47" s="102" t="s">
        <v>401</v>
      </c>
      <c r="E47" s="104" t="s">
        <v>402</v>
      </c>
      <c r="F47" s="105" t="s">
        <v>16</v>
      </c>
      <c r="G47" s="105" t="s">
        <v>403</v>
      </c>
      <c r="H47" s="105" t="s">
        <v>404</v>
      </c>
      <c r="I47" s="105"/>
      <c r="J47" s="105" t="s">
        <v>405</v>
      </c>
      <c r="K47" s="105" t="s">
        <v>406</v>
      </c>
      <c r="L47" s="106" t="s">
        <v>163</v>
      </c>
      <c r="M47" s="106" t="s">
        <v>23</v>
      </c>
      <c r="N47" s="106" t="s">
        <v>20</v>
      </c>
      <c r="O47" s="104" t="s">
        <v>407</v>
      </c>
      <c r="P47" s="105" t="s">
        <v>13</v>
      </c>
      <c r="Q47" s="107" t="s">
        <v>18</v>
      </c>
      <c r="S47" s="39"/>
      <c r="T47" s="39"/>
      <c r="U47" s="39"/>
      <c r="V47" s="39"/>
      <c r="W47" s="39"/>
      <c r="X47" s="39"/>
      <c r="Y47" s="39"/>
      <c r="Z47" s="39"/>
      <c r="AA47" s="39"/>
      <c r="AB47" s="39"/>
      <c r="AC47" s="39"/>
      <c r="AD47" s="39"/>
      <c r="AE47" s="39"/>
      <c r="AF47" s="39"/>
    </row>
    <row r="48" spans="1:32" x14ac:dyDescent="0.2">
      <c r="A48" s="6"/>
      <c r="B48" s="6"/>
      <c r="C48" s="34"/>
      <c r="D48" s="6"/>
      <c r="E48" s="28"/>
      <c r="F48" s="7"/>
      <c r="G48" s="7"/>
      <c r="H48" s="7"/>
      <c r="I48" s="45"/>
      <c r="J48" s="7"/>
      <c r="K48" s="7"/>
      <c r="L48" s="32"/>
      <c r="M48" s="49"/>
      <c r="N48" s="32"/>
      <c r="O48" s="53"/>
      <c r="P48" s="45"/>
      <c r="Q48" s="36"/>
      <c r="S48" s="39"/>
      <c r="T48" s="39"/>
      <c r="U48" s="39"/>
      <c r="V48" s="39"/>
      <c r="W48" s="39"/>
      <c r="X48" s="39"/>
      <c r="Y48" s="39"/>
      <c r="Z48" s="39"/>
      <c r="AA48" s="39"/>
      <c r="AB48" s="39"/>
      <c r="AC48" s="39"/>
      <c r="AD48" s="39"/>
      <c r="AE48" s="39"/>
      <c r="AF48" s="39"/>
    </row>
    <row r="49" spans="1:32" x14ac:dyDescent="0.2">
      <c r="A49" s="6"/>
      <c r="B49" s="6"/>
      <c r="C49" s="34"/>
      <c r="D49" s="6"/>
      <c r="E49" s="28"/>
      <c r="F49" s="7"/>
      <c r="G49" s="7"/>
      <c r="H49" s="7"/>
      <c r="I49" s="45"/>
      <c r="J49" s="7"/>
      <c r="K49" s="7"/>
      <c r="L49" s="32"/>
      <c r="M49" s="49"/>
      <c r="N49" s="32"/>
      <c r="O49" s="53"/>
      <c r="P49" s="45"/>
      <c r="Q49" s="36"/>
      <c r="S49" s="39"/>
      <c r="T49" s="39"/>
      <c r="U49" s="39"/>
      <c r="V49" s="39"/>
      <c r="W49" s="39"/>
      <c r="X49" s="39"/>
      <c r="Y49" s="39"/>
      <c r="Z49" s="39"/>
      <c r="AA49" s="39"/>
      <c r="AB49" s="39"/>
      <c r="AC49" s="39"/>
      <c r="AD49" s="39"/>
      <c r="AE49" s="39"/>
      <c r="AF49" s="39"/>
    </row>
    <row r="50" spans="1:32" x14ac:dyDescent="0.2">
      <c r="C50" s="5"/>
    </row>
    <row r="51" spans="1:32" x14ac:dyDescent="0.2">
      <c r="C51" s="5"/>
    </row>
    <row r="52" spans="1:32" x14ac:dyDescent="0.2">
      <c r="C52" s="5"/>
    </row>
    <row r="53" spans="1:32" x14ac:dyDescent="0.2">
      <c r="C53" s="5"/>
    </row>
    <row r="54" spans="1:32" x14ac:dyDescent="0.2">
      <c r="C54" s="5"/>
    </row>
    <row r="55" spans="1:32" x14ac:dyDescent="0.2">
      <c r="C55" s="5"/>
    </row>
    <row r="56" spans="1:32" x14ac:dyDescent="0.2">
      <c r="C56" s="5"/>
    </row>
    <row r="57" spans="1:32" x14ac:dyDescent="0.2">
      <c r="C57" s="5"/>
    </row>
    <row r="58" spans="1:32" x14ac:dyDescent="0.2">
      <c r="C58" s="5"/>
    </row>
    <row r="59" spans="1:32" x14ac:dyDescent="0.2">
      <c r="C59" s="5"/>
    </row>
    <row r="60" spans="1:32" x14ac:dyDescent="0.2">
      <c r="C60" s="5"/>
    </row>
    <row r="61" spans="1:32" x14ac:dyDescent="0.2">
      <c r="C61" s="5"/>
    </row>
    <row r="62" spans="1:32" x14ac:dyDescent="0.2">
      <c r="C62" s="5"/>
    </row>
    <row r="63" spans="1:32" x14ac:dyDescent="0.2">
      <c r="C63" s="5"/>
    </row>
    <row r="64" spans="1:32" x14ac:dyDescent="0.2">
      <c r="C64" s="5"/>
    </row>
    <row r="65" spans="3:3" x14ac:dyDescent="0.2">
      <c r="C65" s="5"/>
    </row>
    <row r="66" spans="3:3" x14ac:dyDescent="0.2">
      <c r="C66" s="5"/>
    </row>
    <row r="67" spans="3:3" x14ac:dyDescent="0.2">
      <c r="C67" s="5"/>
    </row>
    <row r="68" spans="3:3" x14ac:dyDescent="0.2">
      <c r="C68" s="5"/>
    </row>
    <row r="69" spans="3:3" x14ac:dyDescent="0.2">
      <c r="C69" s="5"/>
    </row>
    <row r="70" spans="3:3" x14ac:dyDescent="0.2">
      <c r="C70" s="5"/>
    </row>
    <row r="71" spans="3:3" x14ac:dyDescent="0.2">
      <c r="C71" s="5"/>
    </row>
    <row r="72" spans="3:3" x14ac:dyDescent="0.2">
      <c r="C72" s="5"/>
    </row>
    <row r="73" spans="3:3" x14ac:dyDescent="0.2">
      <c r="C73" s="5"/>
    </row>
    <row r="74" spans="3:3" x14ac:dyDescent="0.2">
      <c r="C74" s="5"/>
    </row>
    <row r="75" spans="3:3" x14ac:dyDescent="0.2">
      <c r="C75" s="5"/>
    </row>
    <row r="76" spans="3:3" x14ac:dyDescent="0.2">
      <c r="C76" s="5"/>
    </row>
    <row r="77" spans="3:3" x14ac:dyDescent="0.2">
      <c r="C77" s="5"/>
    </row>
    <row r="78" spans="3:3" x14ac:dyDescent="0.2">
      <c r="C78" s="5"/>
    </row>
    <row r="79" spans="3:3" x14ac:dyDescent="0.2">
      <c r="C79" s="5"/>
    </row>
    <row r="80" spans="3:3" x14ac:dyDescent="0.2">
      <c r="C80" s="5"/>
    </row>
    <row r="81" spans="3:3" x14ac:dyDescent="0.2">
      <c r="C81" s="5"/>
    </row>
    <row r="82" spans="3:3" x14ac:dyDescent="0.2">
      <c r="C82" s="5"/>
    </row>
    <row r="83" spans="3:3" x14ac:dyDescent="0.2">
      <c r="C83" s="5"/>
    </row>
    <row r="84" spans="3:3" x14ac:dyDescent="0.2">
      <c r="C84" s="5"/>
    </row>
    <row r="85" spans="3:3" x14ac:dyDescent="0.2">
      <c r="C85" s="5"/>
    </row>
    <row r="86" spans="3:3" x14ac:dyDescent="0.2">
      <c r="C86" s="5"/>
    </row>
    <row r="87" spans="3:3" x14ac:dyDescent="0.2">
      <c r="C87" s="5"/>
    </row>
    <row r="88" spans="3:3" x14ac:dyDescent="0.2">
      <c r="C88" s="5"/>
    </row>
    <row r="89" spans="3:3" x14ac:dyDescent="0.2">
      <c r="C89" s="5"/>
    </row>
    <row r="90" spans="3:3" x14ac:dyDescent="0.2">
      <c r="C90" s="5"/>
    </row>
    <row r="91" spans="3:3" x14ac:dyDescent="0.2">
      <c r="C91" s="5"/>
    </row>
    <row r="92" spans="3:3" x14ac:dyDescent="0.2">
      <c r="C92" s="5"/>
    </row>
    <row r="93" spans="3:3" x14ac:dyDescent="0.2">
      <c r="C93" s="5"/>
    </row>
    <row r="94" spans="3:3" x14ac:dyDescent="0.2">
      <c r="C94" s="5"/>
    </row>
    <row r="95" spans="3:3" x14ac:dyDescent="0.2">
      <c r="C95" s="5"/>
    </row>
    <row r="96" spans="3:3" x14ac:dyDescent="0.2">
      <c r="C96" s="5"/>
    </row>
    <row r="97" spans="3:3" x14ac:dyDescent="0.2">
      <c r="C97" s="5"/>
    </row>
    <row r="98" spans="3:3" x14ac:dyDescent="0.2">
      <c r="C98" s="5"/>
    </row>
    <row r="99" spans="3:3" x14ac:dyDescent="0.2">
      <c r="C99" s="5"/>
    </row>
    <row r="100" spans="3:3" x14ac:dyDescent="0.2">
      <c r="C100" s="5"/>
    </row>
    <row r="101" spans="3:3" x14ac:dyDescent="0.2">
      <c r="C101" s="5"/>
    </row>
    <row r="102" spans="3:3" x14ac:dyDescent="0.2">
      <c r="C102" s="5"/>
    </row>
    <row r="103" spans="3:3" x14ac:dyDescent="0.2">
      <c r="C103" s="5"/>
    </row>
    <row r="104" spans="3:3" x14ac:dyDescent="0.2">
      <c r="C104" s="5"/>
    </row>
    <row r="105" spans="3:3" x14ac:dyDescent="0.2">
      <c r="C105" s="5"/>
    </row>
    <row r="106" spans="3:3" x14ac:dyDescent="0.2">
      <c r="C106" s="5"/>
    </row>
    <row r="107" spans="3:3" x14ac:dyDescent="0.2">
      <c r="C107" s="5"/>
    </row>
    <row r="108" spans="3:3" x14ac:dyDescent="0.2">
      <c r="C108" s="5"/>
    </row>
    <row r="109" spans="3:3" x14ac:dyDescent="0.2">
      <c r="C109" s="5"/>
    </row>
    <row r="110" spans="3:3" x14ac:dyDescent="0.2">
      <c r="C110" s="5"/>
    </row>
    <row r="111" spans="3:3" x14ac:dyDescent="0.2">
      <c r="C111" s="5"/>
    </row>
    <row r="112" spans="3:3" x14ac:dyDescent="0.2">
      <c r="C112" s="5"/>
    </row>
    <row r="113" spans="3:3" x14ac:dyDescent="0.2">
      <c r="C113" s="5"/>
    </row>
    <row r="114" spans="3:3" x14ac:dyDescent="0.2">
      <c r="C114" s="5"/>
    </row>
    <row r="115" spans="3:3" x14ac:dyDescent="0.2">
      <c r="C115" s="5"/>
    </row>
    <row r="116" spans="3:3" x14ac:dyDescent="0.2">
      <c r="C116" s="5"/>
    </row>
    <row r="117" spans="3:3" x14ac:dyDescent="0.2">
      <c r="C117" s="5"/>
    </row>
    <row r="118" spans="3:3" x14ac:dyDescent="0.2">
      <c r="C118" s="5"/>
    </row>
    <row r="119" spans="3:3" x14ac:dyDescent="0.2">
      <c r="C119" s="5"/>
    </row>
    <row r="120" spans="3:3" x14ac:dyDescent="0.2">
      <c r="C120" s="5"/>
    </row>
    <row r="121" spans="3:3" x14ac:dyDescent="0.2">
      <c r="C121" s="5"/>
    </row>
    <row r="122" spans="3:3" x14ac:dyDescent="0.2">
      <c r="C122" s="5"/>
    </row>
    <row r="123" spans="3:3" x14ac:dyDescent="0.2">
      <c r="C123" s="5"/>
    </row>
    <row r="124" spans="3:3" x14ac:dyDescent="0.2">
      <c r="C124" s="5"/>
    </row>
    <row r="125" spans="3:3" x14ac:dyDescent="0.2">
      <c r="C125" s="5"/>
    </row>
    <row r="126" spans="3:3" x14ac:dyDescent="0.2">
      <c r="C126" s="5"/>
    </row>
    <row r="127" spans="3:3" x14ac:dyDescent="0.2">
      <c r="C127" s="5"/>
    </row>
    <row r="128" spans="3:3" x14ac:dyDescent="0.2">
      <c r="C128" s="5"/>
    </row>
    <row r="129" spans="3:3" x14ac:dyDescent="0.2">
      <c r="C129" s="5"/>
    </row>
    <row r="130" spans="3:3" x14ac:dyDescent="0.2">
      <c r="C130" s="5"/>
    </row>
    <row r="131" spans="3:3" x14ac:dyDescent="0.2">
      <c r="C131" s="5"/>
    </row>
    <row r="132" spans="3:3" x14ac:dyDescent="0.2">
      <c r="C132" s="5"/>
    </row>
    <row r="133" spans="3:3" x14ac:dyDescent="0.2">
      <c r="C133" s="5"/>
    </row>
    <row r="134" spans="3:3" x14ac:dyDescent="0.2">
      <c r="C134" s="5"/>
    </row>
    <row r="135" spans="3:3" x14ac:dyDescent="0.2">
      <c r="C135" s="5"/>
    </row>
    <row r="136" spans="3:3" x14ac:dyDescent="0.2">
      <c r="C136" s="5"/>
    </row>
    <row r="137" spans="3:3" x14ac:dyDescent="0.2">
      <c r="C137" s="5"/>
    </row>
    <row r="138" spans="3:3" x14ac:dyDescent="0.2">
      <c r="C138" s="5"/>
    </row>
    <row r="139" spans="3:3" x14ac:dyDescent="0.2">
      <c r="C139" s="5"/>
    </row>
    <row r="140" spans="3:3" x14ac:dyDescent="0.2">
      <c r="C140" s="5"/>
    </row>
    <row r="141" spans="3:3" x14ac:dyDescent="0.2">
      <c r="C141" s="5"/>
    </row>
    <row r="142" spans="3:3" x14ac:dyDescent="0.2">
      <c r="C142" s="5"/>
    </row>
    <row r="143" spans="3:3" x14ac:dyDescent="0.2">
      <c r="C143" s="5"/>
    </row>
    <row r="144" spans="3:3" x14ac:dyDescent="0.2">
      <c r="C144" s="5"/>
    </row>
    <row r="145" spans="3:3" x14ac:dyDescent="0.2">
      <c r="C145" s="5"/>
    </row>
    <row r="146" spans="3:3" x14ac:dyDescent="0.2">
      <c r="C146" s="5"/>
    </row>
    <row r="147" spans="3:3" x14ac:dyDescent="0.2">
      <c r="C147" s="5"/>
    </row>
    <row r="148" spans="3:3" x14ac:dyDescent="0.2">
      <c r="C148" s="5"/>
    </row>
    <row r="149" spans="3:3" x14ac:dyDescent="0.2">
      <c r="C149" s="5"/>
    </row>
    <row r="150" spans="3:3" x14ac:dyDescent="0.2">
      <c r="C150" s="5"/>
    </row>
    <row r="151" spans="3:3" x14ac:dyDescent="0.2">
      <c r="C151" s="5"/>
    </row>
    <row r="152" spans="3:3" x14ac:dyDescent="0.2">
      <c r="C152" s="5"/>
    </row>
    <row r="153" spans="3:3" x14ac:dyDescent="0.2">
      <c r="C153" s="5"/>
    </row>
    <row r="154" spans="3:3" x14ac:dyDescent="0.2">
      <c r="C154" s="5"/>
    </row>
    <row r="155" spans="3:3" x14ac:dyDescent="0.2">
      <c r="C155" s="5"/>
    </row>
    <row r="156" spans="3:3" x14ac:dyDescent="0.2">
      <c r="C156" s="5"/>
    </row>
    <row r="157" spans="3:3" x14ac:dyDescent="0.2">
      <c r="C157" s="5"/>
    </row>
    <row r="158" spans="3:3" x14ac:dyDescent="0.2">
      <c r="C158" s="5"/>
    </row>
    <row r="159" spans="3:3" x14ac:dyDescent="0.2">
      <c r="C159" s="5"/>
    </row>
    <row r="160" spans="3:3" x14ac:dyDescent="0.2">
      <c r="C160" s="5"/>
    </row>
    <row r="161" spans="3:3" x14ac:dyDescent="0.2">
      <c r="C161" s="5"/>
    </row>
    <row r="162" spans="3:3" x14ac:dyDescent="0.2">
      <c r="C162" s="5"/>
    </row>
    <row r="163" spans="3:3" x14ac:dyDescent="0.2">
      <c r="C163" s="5"/>
    </row>
    <row r="164" spans="3:3" x14ac:dyDescent="0.2">
      <c r="C164" s="5"/>
    </row>
    <row r="165" spans="3:3" x14ac:dyDescent="0.2">
      <c r="C165" s="5"/>
    </row>
    <row r="166" spans="3:3" x14ac:dyDescent="0.2">
      <c r="C166" s="5"/>
    </row>
    <row r="167" spans="3:3" x14ac:dyDescent="0.2">
      <c r="C167" s="5"/>
    </row>
    <row r="168" spans="3:3" x14ac:dyDescent="0.2">
      <c r="C168" s="5"/>
    </row>
    <row r="169" spans="3:3" x14ac:dyDescent="0.2">
      <c r="C169" s="5"/>
    </row>
    <row r="170" spans="3:3" x14ac:dyDescent="0.2">
      <c r="C170" s="5"/>
    </row>
    <row r="171" spans="3:3" x14ac:dyDescent="0.2">
      <c r="C171" s="5"/>
    </row>
    <row r="172" spans="3:3" x14ac:dyDescent="0.2">
      <c r="C172" s="5"/>
    </row>
    <row r="173" spans="3:3" x14ac:dyDescent="0.2">
      <c r="C173" s="5"/>
    </row>
    <row r="174" spans="3:3" x14ac:dyDescent="0.2">
      <c r="C174" s="5"/>
    </row>
    <row r="175" spans="3:3" x14ac:dyDescent="0.2">
      <c r="C175" s="5"/>
    </row>
    <row r="176" spans="3:3" x14ac:dyDescent="0.2">
      <c r="C176" s="5"/>
    </row>
    <row r="177" spans="3:3" x14ac:dyDescent="0.2">
      <c r="C177" s="5"/>
    </row>
    <row r="178" spans="3:3" x14ac:dyDescent="0.2">
      <c r="C178" s="5"/>
    </row>
    <row r="179" spans="3:3" x14ac:dyDescent="0.2">
      <c r="C179" s="5"/>
    </row>
    <row r="180" spans="3:3" x14ac:dyDescent="0.2">
      <c r="C180" s="5"/>
    </row>
    <row r="181" spans="3:3" x14ac:dyDescent="0.2">
      <c r="C181" s="5"/>
    </row>
    <row r="182" spans="3:3" x14ac:dyDescent="0.2">
      <c r="C182" s="5"/>
    </row>
    <row r="183" spans="3:3" x14ac:dyDescent="0.2">
      <c r="C183" s="5"/>
    </row>
    <row r="184" spans="3:3" x14ac:dyDescent="0.2">
      <c r="C184" s="5"/>
    </row>
    <row r="185" spans="3:3" x14ac:dyDescent="0.2">
      <c r="C185" s="5"/>
    </row>
    <row r="186" spans="3:3" x14ac:dyDescent="0.2">
      <c r="C186" s="5"/>
    </row>
    <row r="187" spans="3:3" x14ac:dyDescent="0.2">
      <c r="C187" s="5"/>
    </row>
    <row r="188" spans="3:3" x14ac:dyDescent="0.2">
      <c r="C188" s="5"/>
    </row>
    <row r="189" spans="3:3" x14ac:dyDescent="0.2">
      <c r="C189" s="5"/>
    </row>
    <row r="190" spans="3:3" x14ac:dyDescent="0.2">
      <c r="C190" s="5"/>
    </row>
    <row r="191" spans="3:3" x14ac:dyDescent="0.2">
      <c r="C191" s="5"/>
    </row>
    <row r="192" spans="3:3" x14ac:dyDescent="0.2">
      <c r="C192" s="5"/>
    </row>
    <row r="193" spans="3:3" x14ac:dyDescent="0.2">
      <c r="C193" s="5"/>
    </row>
    <row r="194" spans="3:3" x14ac:dyDescent="0.2">
      <c r="C194" s="5"/>
    </row>
    <row r="195" spans="3:3" x14ac:dyDescent="0.2">
      <c r="C195" s="5"/>
    </row>
    <row r="196" spans="3:3" x14ac:dyDescent="0.2">
      <c r="C196" s="5"/>
    </row>
    <row r="197" spans="3:3" x14ac:dyDescent="0.2">
      <c r="C197" s="5"/>
    </row>
    <row r="198" spans="3:3" x14ac:dyDescent="0.2">
      <c r="C198" s="5"/>
    </row>
    <row r="199" spans="3:3" x14ac:dyDescent="0.2">
      <c r="C199" s="5"/>
    </row>
    <row r="200" spans="3:3" x14ac:dyDescent="0.2">
      <c r="C200" s="5"/>
    </row>
    <row r="201" spans="3:3" x14ac:dyDescent="0.2">
      <c r="C201" s="5"/>
    </row>
    <row r="202" spans="3:3" x14ac:dyDescent="0.2">
      <c r="C202" s="5"/>
    </row>
    <row r="203" spans="3:3" x14ac:dyDescent="0.2">
      <c r="C203" s="5"/>
    </row>
    <row r="204" spans="3:3" x14ac:dyDescent="0.2">
      <c r="C204" s="5"/>
    </row>
    <row r="205" spans="3:3" x14ac:dyDescent="0.2">
      <c r="C205" s="5"/>
    </row>
    <row r="206" spans="3:3" x14ac:dyDescent="0.2">
      <c r="C206" s="5"/>
    </row>
    <row r="207" spans="3:3" x14ac:dyDescent="0.2">
      <c r="C207" s="5"/>
    </row>
    <row r="208" spans="3:3" x14ac:dyDescent="0.2">
      <c r="C208" s="5"/>
    </row>
    <row r="209" spans="3:3" x14ac:dyDescent="0.2">
      <c r="C209" s="5"/>
    </row>
    <row r="210" spans="3:3" x14ac:dyDescent="0.2">
      <c r="C210" s="5"/>
    </row>
    <row r="211" spans="3:3" x14ac:dyDescent="0.2">
      <c r="C211" s="5"/>
    </row>
    <row r="212" spans="3:3" x14ac:dyDescent="0.2">
      <c r="C212" s="5"/>
    </row>
    <row r="213" spans="3:3" x14ac:dyDescent="0.2">
      <c r="C213" s="5"/>
    </row>
    <row r="214" spans="3:3" x14ac:dyDescent="0.2">
      <c r="C214" s="5"/>
    </row>
    <row r="215" spans="3:3" x14ac:dyDescent="0.2">
      <c r="C215" s="5"/>
    </row>
    <row r="216" spans="3:3" x14ac:dyDescent="0.2">
      <c r="C216" s="5"/>
    </row>
    <row r="217" spans="3:3" x14ac:dyDescent="0.2">
      <c r="C217" s="5"/>
    </row>
    <row r="218" spans="3:3" x14ac:dyDescent="0.2">
      <c r="C218" s="5"/>
    </row>
    <row r="219" spans="3:3" x14ac:dyDescent="0.2">
      <c r="C219" s="5"/>
    </row>
    <row r="220" spans="3:3" x14ac:dyDescent="0.2">
      <c r="C220" s="5"/>
    </row>
    <row r="221" spans="3:3" x14ac:dyDescent="0.2">
      <c r="C221" s="5"/>
    </row>
    <row r="222" spans="3:3" x14ac:dyDescent="0.2">
      <c r="C222" s="5"/>
    </row>
    <row r="223" spans="3:3" x14ac:dyDescent="0.2">
      <c r="C223" s="5"/>
    </row>
    <row r="224" spans="3:3" x14ac:dyDescent="0.2">
      <c r="C224" s="5"/>
    </row>
    <row r="225" spans="3:3" x14ac:dyDescent="0.2">
      <c r="C225" s="5"/>
    </row>
    <row r="226" spans="3:3" x14ac:dyDescent="0.2">
      <c r="C226" s="5"/>
    </row>
    <row r="227" spans="3:3" x14ac:dyDescent="0.2">
      <c r="C227" s="5"/>
    </row>
    <row r="228" spans="3:3" x14ac:dyDescent="0.2">
      <c r="C228" s="5"/>
    </row>
    <row r="229" spans="3:3" x14ac:dyDescent="0.2">
      <c r="C229" s="5"/>
    </row>
    <row r="230" spans="3:3" x14ac:dyDescent="0.2">
      <c r="C230" s="5"/>
    </row>
    <row r="231" spans="3:3" x14ac:dyDescent="0.2">
      <c r="C231" s="5"/>
    </row>
    <row r="232" spans="3:3" x14ac:dyDescent="0.2">
      <c r="C232" s="5"/>
    </row>
    <row r="233" spans="3:3" x14ac:dyDescent="0.2">
      <c r="C233" s="5"/>
    </row>
    <row r="234" spans="3:3" x14ac:dyDescent="0.2">
      <c r="C234" s="5"/>
    </row>
    <row r="235" spans="3:3" x14ac:dyDescent="0.2">
      <c r="C235" s="5"/>
    </row>
    <row r="236" spans="3:3" x14ac:dyDescent="0.2">
      <c r="C236" s="5"/>
    </row>
    <row r="237" spans="3:3" x14ac:dyDescent="0.2">
      <c r="C237" s="5"/>
    </row>
    <row r="238" spans="3:3" x14ac:dyDescent="0.2">
      <c r="C238" s="5"/>
    </row>
    <row r="239" spans="3:3" x14ac:dyDescent="0.2">
      <c r="C239" s="5"/>
    </row>
    <row r="240" spans="3:3" x14ac:dyDescent="0.2">
      <c r="C240" s="5"/>
    </row>
    <row r="241" spans="3:3" x14ac:dyDescent="0.2">
      <c r="C241" s="5"/>
    </row>
    <row r="242" spans="3:3" x14ac:dyDescent="0.2">
      <c r="C242" s="5"/>
    </row>
    <row r="243" spans="3:3" x14ac:dyDescent="0.2">
      <c r="C243" s="5"/>
    </row>
    <row r="244" spans="3:3" x14ac:dyDescent="0.2">
      <c r="C244" s="5"/>
    </row>
    <row r="245" spans="3:3" x14ac:dyDescent="0.2">
      <c r="C245" s="5"/>
    </row>
    <row r="246" spans="3:3" x14ac:dyDescent="0.2">
      <c r="C246" s="5"/>
    </row>
    <row r="247" spans="3:3" x14ac:dyDescent="0.2">
      <c r="C247" s="5"/>
    </row>
    <row r="248" spans="3:3" x14ac:dyDescent="0.2">
      <c r="C248" s="5"/>
    </row>
    <row r="249" spans="3:3" x14ac:dyDescent="0.2">
      <c r="C249" s="5"/>
    </row>
    <row r="250" spans="3:3" x14ac:dyDescent="0.2">
      <c r="C250" s="5"/>
    </row>
    <row r="251" spans="3:3" x14ac:dyDescent="0.2">
      <c r="C251" s="5"/>
    </row>
    <row r="252" spans="3:3" x14ac:dyDescent="0.2">
      <c r="C252" s="5"/>
    </row>
    <row r="253" spans="3:3" x14ac:dyDescent="0.2">
      <c r="C253" s="5"/>
    </row>
    <row r="254" spans="3:3" x14ac:dyDescent="0.2">
      <c r="C254" s="5"/>
    </row>
    <row r="255" spans="3:3" x14ac:dyDescent="0.2">
      <c r="C255" s="5"/>
    </row>
    <row r="256" spans="3:3" x14ac:dyDescent="0.2">
      <c r="C256" s="5"/>
    </row>
    <row r="257" spans="3:3" x14ac:dyDescent="0.2">
      <c r="C257" s="5"/>
    </row>
    <row r="258" spans="3:3" x14ac:dyDescent="0.2">
      <c r="C258" s="5"/>
    </row>
    <row r="259" spans="3:3" x14ac:dyDescent="0.2">
      <c r="C259" s="5"/>
    </row>
    <row r="260" spans="3:3" x14ac:dyDescent="0.2">
      <c r="C260" s="5"/>
    </row>
    <row r="261" spans="3:3" x14ac:dyDescent="0.2">
      <c r="C261" s="5"/>
    </row>
    <row r="262" spans="3:3" x14ac:dyDescent="0.2">
      <c r="C262" s="5"/>
    </row>
    <row r="263" spans="3:3" x14ac:dyDescent="0.2">
      <c r="C263" s="5"/>
    </row>
    <row r="264" spans="3:3" x14ac:dyDescent="0.2">
      <c r="C264" s="5"/>
    </row>
    <row r="265" spans="3:3" x14ac:dyDescent="0.2">
      <c r="C265" s="5"/>
    </row>
    <row r="266" spans="3:3" x14ac:dyDescent="0.2">
      <c r="C266" s="5"/>
    </row>
    <row r="267" spans="3:3" x14ac:dyDescent="0.2">
      <c r="C267" s="5"/>
    </row>
    <row r="268" spans="3:3" x14ac:dyDescent="0.2">
      <c r="C268" s="5"/>
    </row>
    <row r="269" spans="3:3" x14ac:dyDescent="0.2">
      <c r="C269" s="5"/>
    </row>
    <row r="270" spans="3:3" x14ac:dyDescent="0.2">
      <c r="C270" s="5"/>
    </row>
    <row r="271" spans="3:3" x14ac:dyDescent="0.2">
      <c r="C271" s="5"/>
    </row>
    <row r="272" spans="3:3" x14ac:dyDescent="0.2">
      <c r="C272" s="5"/>
    </row>
    <row r="273" spans="3:3" x14ac:dyDescent="0.2">
      <c r="C273" s="5"/>
    </row>
    <row r="274" spans="3:3" x14ac:dyDescent="0.2">
      <c r="C274" s="5"/>
    </row>
    <row r="275" spans="3:3" x14ac:dyDescent="0.2">
      <c r="C275" s="5"/>
    </row>
    <row r="276" spans="3:3" x14ac:dyDescent="0.2">
      <c r="C276" s="5"/>
    </row>
    <row r="277" spans="3:3" x14ac:dyDescent="0.2">
      <c r="C277" s="5"/>
    </row>
    <row r="278" spans="3:3" x14ac:dyDescent="0.2">
      <c r="C278" s="5"/>
    </row>
    <row r="279" spans="3:3" x14ac:dyDescent="0.2">
      <c r="C279" s="5"/>
    </row>
    <row r="280" spans="3:3" x14ac:dyDescent="0.2">
      <c r="C280" s="5"/>
    </row>
    <row r="281" spans="3:3" x14ac:dyDescent="0.2">
      <c r="C281" s="5"/>
    </row>
    <row r="282" spans="3:3" x14ac:dyDescent="0.2">
      <c r="C282" s="5"/>
    </row>
    <row r="283" spans="3:3" x14ac:dyDescent="0.2">
      <c r="C283" s="5"/>
    </row>
    <row r="284" spans="3:3" x14ac:dyDescent="0.2">
      <c r="C284" s="5"/>
    </row>
    <row r="285" spans="3:3" x14ac:dyDescent="0.2">
      <c r="C285" s="5"/>
    </row>
    <row r="286" spans="3:3" x14ac:dyDescent="0.2">
      <c r="C286" s="5"/>
    </row>
    <row r="287" spans="3:3" x14ac:dyDescent="0.2">
      <c r="C287" s="5"/>
    </row>
    <row r="288" spans="3:3" x14ac:dyDescent="0.2">
      <c r="C288" s="5"/>
    </row>
    <row r="289" spans="3:3" x14ac:dyDescent="0.2">
      <c r="C289" s="5"/>
    </row>
    <row r="290" spans="3:3" x14ac:dyDescent="0.2">
      <c r="C290" s="5"/>
    </row>
    <row r="291" spans="3:3" x14ac:dyDescent="0.2">
      <c r="C291" s="5"/>
    </row>
    <row r="292" spans="3:3" x14ac:dyDescent="0.2">
      <c r="C292" s="5"/>
    </row>
    <row r="293" spans="3:3" x14ac:dyDescent="0.2">
      <c r="C293" s="5"/>
    </row>
    <row r="294" spans="3:3" x14ac:dyDescent="0.2">
      <c r="C294" s="5"/>
    </row>
    <row r="295" spans="3:3" x14ac:dyDescent="0.2">
      <c r="C295" s="5"/>
    </row>
    <row r="296" spans="3:3" x14ac:dyDescent="0.2">
      <c r="C296" s="5"/>
    </row>
    <row r="297" spans="3:3" x14ac:dyDescent="0.2">
      <c r="C297" s="5"/>
    </row>
    <row r="298" spans="3:3" x14ac:dyDescent="0.2">
      <c r="C298" s="5"/>
    </row>
    <row r="299" spans="3:3" x14ac:dyDescent="0.2">
      <c r="C299" s="5"/>
    </row>
    <row r="300" spans="3:3" x14ac:dyDescent="0.2">
      <c r="C300" s="5"/>
    </row>
    <row r="301" spans="3:3" x14ac:dyDescent="0.2">
      <c r="C301" s="5"/>
    </row>
    <row r="302" spans="3:3" x14ac:dyDescent="0.2">
      <c r="C302" s="5"/>
    </row>
    <row r="303" spans="3:3" x14ac:dyDescent="0.2">
      <c r="C303" s="5"/>
    </row>
    <row r="304" spans="3:3" x14ac:dyDescent="0.2">
      <c r="C304" s="5"/>
    </row>
    <row r="305" spans="3:3" x14ac:dyDescent="0.2">
      <c r="C305" s="5"/>
    </row>
    <row r="306" spans="3:3" x14ac:dyDescent="0.2">
      <c r="C306" s="5"/>
    </row>
    <row r="307" spans="3:3" x14ac:dyDescent="0.2">
      <c r="C307" s="5"/>
    </row>
    <row r="308" spans="3:3" x14ac:dyDescent="0.2">
      <c r="C308" s="5"/>
    </row>
    <row r="309" spans="3:3" x14ac:dyDescent="0.2">
      <c r="C309" s="5"/>
    </row>
    <row r="310" spans="3:3" x14ac:dyDescent="0.2">
      <c r="C310" s="5"/>
    </row>
    <row r="311" spans="3:3" x14ac:dyDescent="0.2">
      <c r="C311" s="5"/>
    </row>
    <row r="312" spans="3:3" x14ac:dyDescent="0.2">
      <c r="C312" s="5"/>
    </row>
    <row r="313" spans="3:3" x14ac:dyDescent="0.2">
      <c r="C313" s="5"/>
    </row>
    <row r="314" spans="3:3" x14ac:dyDescent="0.2">
      <c r="C314" s="5"/>
    </row>
    <row r="315" spans="3:3" x14ac:dyDescent="0.2">
      <c r="C315" s="5"/>
    </row>
    <row r="316" spans="3:3" x14ac:dyDescent="0.2">
      <c r="C316" s="5"/>
    </row>
    <row r="317" spans="3:3" x14ac:dyDescent="0.2">
      <c r="C317" s="5"/>
    </row>
    <row r="318" spans="3:3" x14ac:dyDescent="0.2">
      <c r="C318" s="5"/>
    </row>
    <row r="319" spans="3:3" x14ac:dyDescent="0.2">
      <c r="C319" s="5"/>
    </row>
    <row r="320" spans="3:3" x14ac:dyDescent="0.2">
      <c r="C320" s="5"/>
    </row>
    <row r="321" spans="3:3" x14ac:dyDescent="0.2">
      <c r="C321" s="5"/>
    </row>
    <row r="322" spans="3:3" x14ac:dyDescent="0.2">
      <c r="C322" s="5"/>
    </row>
    <row r="323" spans="3:3" x14ac:dyDescent="0.2">
      <c r="C323" s="5"/>
    </row>
    <row r="324" spans="3:3" x14ac:dyDescent="0.2">
      <c r="C324" s="5"/>
    </row>
    <row r="325" spans="3:3" x14ac:dyDescent="0.2">
      <c r="C325" s="5"/>
    </row>
    <row r="326" spans="3:3" x14ac:dyDescent="0.2">
      <c r="C326" s="5"/>
    </row>
    <row r="327" spans="3:3" x14ac:dyDescent="0.2">
      <c r="C327" s="5"/>
    </row>
    <row r="328" spans="3:3" x14ac:dyDescent="0.2">
      <c r="C328" s="5"/>
    </row>
    <row r="329" spans="3:3" x14ac:dyDescent="0.2">
      <c r="C329" s="5"/>
    </row>
    <row r="330" spans="3:3" x14ac:dyDescent="0.2">
      <c r="C330" s="5"/>
    </row>
    <row r="331" spans="3:3" x14ac:dyDescent="0.2">
      <c r="C331" s="5"/>
    </row>
    <row r="332" spans="3:3" x14ac:dyDescent="0.2">
      <c r="C332" s="5"/>
    </row>
    <row r="333" spans="3:3" x14ac:dyDescent="0.2">
      <c r="C333" s="5"/>
    </row>
    <row r="334" spans="3:3" x14ac:dyDescent="0.2">
      <c r="C334" s="5"/>
    </row>
    <row r="335" spans="3:3" x14ac:dyDescent="0.2">
      <c r="C335" s="5"/>
    </row>
    <row r="336" spans="3:3" x14ac:dyDescent="0.2">
      <c r="C336" s="5"/>
    </row>
    <row r="337" spans="3:3" x14ac:dyDescent="0.2">
      <c r="C337" s="5"/>
    </row>
    <row r="338" spans="3:3" x14ac:dyDescent="0.2">
      <c r="C338" s="5"/>
    </row>
    <row r="339" spans="3:3" x14ac:dyDescent="0.2">
      <c r="C339" s="5"/>
    </row>
    <row r="340" spans="3:3" x14ac:dyDescent="0.2">
      <c r="C340" s="5"/>
    </row>
    <row r="341" spans="3:3" x14ac:dyDescent="0.2">
      <c r="C341" s="5"/>
    </row>
    <row r="342" spans="3:3" x14ac:dyDescent="0.2">
      <c r="C342" s="5"/>
    </row>
    <row r="343" spans="3:3" x14ac:dyDescent="0.2">
      <c r="C343" s="5"/>
    </row>
    <row r="344" spans="3:3" x14ac:dyDescent="0.2">
      <c r="C344" s="5"/>
    </row>
    <row r="345" spans="3:3" x14ac:dyDescent="0.2">
      <c r="C345" s="5"/>
    </row>
    <row r="346" spans="3:3" x14ac:dyDescent="0.2">
      <c r="C346" s="5"/>
    </row>
    <row r="347" spans="3:3" x14ac:dyDescent="0.2">
      <c r="C347" s="5"/>
    </row>
    <row r="348" spans="3:3" x14ac:dyDescent="0.2">
      <c r="C348" s="5"/>
    </row>
    <row r="349" spans="3:3" x14ac:dyDescent="0.2">
      <c r="C349" s="5"/>
    </row>
    <row r="350" spans="3:3" x14ac:dyDescent="0.2">
      <c r="C350" s="5"/>
    </row>
    <row r="351" spans="3:3" x14ac:dyDescent="0.2">
      <c r="C351" s="5"/>
    </row>
    <row r="352" spans="3:3" x14ac:dyDescent="0.2">
      <c r="C352" s="5"/>
    </row>
    <row r="353" spans="3:3" x14ac:dyDescent="0.2">
      <c r="C353" s="5"/>
    </row>
    <row r="354" spans="3:3" x14ac:dyDescent="0.2">
      <c r="C354" s="5"/>
    </row>
    <row r="355" spans="3:3" x14ac:dyDescent="0.2">
      <c r="C355" s="5"/>
    </row>
    <row r="356" spans="3:3" x14ac:dyDescent="0.2">
      <c r="C356" s="5"/>
    </row>
    <row r="357" spans="3:3" x14ac:dyDescent="0.2">
      <c r="C357" s="5"/>
    </row>
    <row r="358" spans="3:3" x14ac:dyDescent="0.2">
      <c r="C358" s="5"/>
    </row>
    <row r="359" spans="3:3" x14ac:dyDescent="0.2">
      <c r="C359" s="5"/>
    </row>
    <row r="360" spans="3:3" x14ac:dyDescent="0.2">
      <c r="C360" s="5"/>
    </row>
    <row r="361" spans="3:3" x14ac:dyDescent="0.2">
      <c r="C361" s="5"/>
    </row>
    <row r="362" spans="3:3" x14ac:dyDescent="0.2">
      <c r="C362" s="5"/>
    </row>
    <row r="363" spans="3:3" x14ac:dyDescent="0.2">
      <c r="C363" s="5"/>
    </row>
    <row r="364" spans="3:3" x14ac:dyDescent="0.2">
      <c r="C364" s="5"/>
    </row>
    <row r="365" spans="3:3" x14ac:dyDescent="0.2">
      <c r="C365" s="5"/>
    </row>
    <row r="366" spans="3:3" x14ac:dyDescent="0.2">
      <c r="C366" s="5"/>
    </row>
    <row r="367" spans="3:3" x14ac:dyDescent="0.2">
      <c r="C367" s="5"/>
    </row>
    <row r="368" spans="3:3" x14ac:dyDescent="0.2">
      <c r="C368" s="5"/>
    </row>
    <row r="369" spans="3:3" x14ac:dyDescent="0.2">
      <c r="C369" s="5"/>
    </row>
    <row r="370" spans="3:3" x14ac:dyDescent="0.2">
      <c r="C370" s="5"/>
    </row>
    <row r="371" spans="3:3" x14ac:dyDescent="0.2">
      <c r="C371" s="5"/>
    </row>
    <row r="372" spans="3:3" x14ac:dyDescent="0.2">
      <c r="C372" s="5"/>
    </row>
    <row r="373" spans="3:3" x14ac:dyDescent="0.2">
      <c r="C373" s="5"/>
    </row>
    <row r="374" spans="3:3" x14ac:dyDescent="0.2">
      <c r="C374" s="5"/>
    </row>
    <row r="375" spans="3:3" x14ac:dyDescent="0.2">
      <c r="C375" s="5"/>
    </row>
    <row r="376" spans="3:3" x14ac:dyDescent="0.2">
      <c r="C376" s="5"/>
    </row>
    <row r="377" spans="3:3" x14ac:dyDescent="0.2">
      <c r="C377" s="5"/>
    </row>
    <row r="378" spans="3:3" x14ac:dyDescent="0.2">
      <c r="C378" s="5"/>
    </row>
    <row r="379" spans="3:3" x14ac:dyDescent="0.2">
      <c r="C379" s="5"/>
    </row>
    <row r="380" spans="3:3" x14ac:dyDescent="0.2">
      <c r="C380" s="5"/>
    </row>
    <row r="381" spans="3:3" x14ac:dyDescent="0.2">
      <c r="C381" s="5"/>
    </row>
    <row r="382" spans="3:3" x14ac:dyDescent="0.2">
      <c r="C382" s="5"/>
    </row>
    <row r="383" spans="3:3" x14ac:dyDescent="0.2">
      <c r="C383" s="5"/>
    </row>
    <row r="384" spans="3:3" x14ac:dyDescent="0.2">
      <c r="C384" s="5"/>
    </row>
    <row r="385" spans="3:3" x14ac:dyDescent="0.2">
      <c r="C385" s="5"/>
    </row>
    <row r="386" spans="3:3" x14ac:dyDescent="0.2">
      <c r="C386" s="5"/>
    </row>
    <row r="387" spans="3:3" x14ac:dyDescent="0.2">
      <c r="C387" s="5"/>
    </row>
    <row r="388" spans="3:3" x14ac:dyDescent="0.2">
      <c r="C388" s="5"/>
    </row>
    <row r="389" spans="3:3" x14ac:dyDescent="0.2">
      <c r="C389" s="5"/>
    </row>
    <row r="390" spans="3:3" x14ac:dyDescent="0.2">
      <c r="C390" s="5"/>
    </row>
    <row r="391" spans="3:3" x14ac:dyDescent="0.2">
      <c r="C391" s="5"/>
    </row>
    <row r="392" spans="3:3" x14ac:dyDescent="0.2">
      <c r="C392" s="5"/>
    </row>
    <row r="393" spans="3:3" x14ac:dyDescent="0.2">
      <c r="C393" s="5"/>
    </row>
    <row r="394" spans="3:3" x14ac:dyDescent="0.2">
      <c r="C394" s="5"/>
    </row>
    <row r="395" spans="3:3" x14ac:dyDescent="0.2">
      <c r="C395" s="5"/>
    </row>
    <row r="396" spans="3:3" x14ac:dyDescent="0.2">
      <c r="C396" s="5"/>
    </row>
    <row r="397" spans="3:3" x14ac:dyDescent="0.2">
      <c r="C397" s="5"/>
    </row>
    <row r="398" spans="3:3" x14ac:dyDescent="0.2">
      <c r="C398" s="5"/>
    </row>
    <row r="399" spans="3:3" x14ac:dyDescent="0.2">
      <c r="C399" s="5"/>
    </row>
    <row r="400" spans="3:3" x14ac:dyDescent="0.2">
      <c r="C400" s="5"/>
    </row>
    <row r="401" spans="3:3" x14ac:dyDescent="0.2">
      <c r="C401" s="5"/>
    </row>
    <row r="402" spans="3:3" x14ac:dyDescent="0.2">
      <c r="C402" s="5"/>
    </row>
    <row r="403" spans="3:3" x14ac:dyDescent="0.2">
      <c r="C403" s="5"/>
    </row>
    <row r="404" spans="3:3" x14ac:dyDescent="0.2">
      <c r="C404" s="5"/>
    </row>
    <row r="405" spans="3:3" x14ac:dyDescent="0.2">
      <c r="C405" s="5"/>
    </row>
    <row r="406" spans="3:3" x14ac:dyDescent="0.2">
      <c r="C406" s="5"/>
    </row>
    <row r="407" spans="3:3" x14ac:dyDescent="0.2">
      <c r="C407" s="5"/>
    </row>
    <row r="408" spans="3:3" x14ac:dyDescent="0.2">
      <c r="C408" s="5"/>
    </row>
    <row r="409" spans="3:3" x14ac:dyDescent="0.2">
      <c r="C409" s="5"/>
    </row>
    <row r="410" spans="3:3" x14ac:dyDescent="0.2">
      <c r="C410" s="5"/>
    </row>
    <row r="411" spans="3:3" x14ac:dyDescent="0.2">
      <c r="C411" s="5"/>
    </row>
    <row r="412" spans="3:3" x14ac:dyDescent="0.2">
      <c r="C412" s="5"/>
    </row>
    <row r="413" spans="3:3" x14ac:dyDescent="0.2">
      <c r="C413" s="5"/>
    </row>
    <row r="414" spans="3:3" x14ac:dyDescent="0.2">
      <c r="C414" s="5"/>
    </row>
    <row r="415" spans="3:3" x14ac:dyDescent="0.2">
      <c r="C415" s="5"/>
    </row>
    <row r="416" spans="3:3" x14ac:dyDescent="0.2">
      <c r="C416" s="5"/>
    </row>
    <row r="417" spans="3:3" x14ac:dyDescent="0.2">
      <c r="C417" s="5"/>
    </row>
    <row r="418" spans="3:3" x14ac:dyDescent="0.2">
      <c r="C418" s="5"/>
    </row>
    <row r="419" spans="3:3" x14ac:dyDescent="0.2">
      <c r="C419" s="5"/>
    </row>
    <row r="420" spans="3:3" x14ac:dyDescent="0.2">
      <c r="C420" s="5"/>
    </row>
    <row r="421" spans="3:3" x14ac:dyDescent="0.2">
      <c r="C421" s="5"/>
    </row>
    <row r="422" spans="3:3" x14ac:dyDescent="0.2">
      <c r="C422" s="5"/>
    </row>
    <row r="423" spans="3:3" x14ac:dyDescent="0.2">
      <c r="C423" s="5"/>
    </row>
    <row r="424" spans="3:3" x14ac:dyDescent="0.2">
      <c r="C424" s="5"/>
    </row>
    <row r="425" spans="3:3" x14ac:dyDescent="0.2">
      <c r="C425" s="5"/>
    </row>
    <row r="426" spans="3:3" x14ac:dyDescent="0.2">
      <c r="C426" s="5"/>
    </row>
    <row r="427" spans="3:3" x14ac:dyDescent="0.2">
      <c r="C427" s="5"/>
    </row>
    <row r="428" spans="3:3" x14ac:dyDescent="0.2">
      <c r="C428" s="5"/>
    </row>
    <row r="429" spans="3:3" x14ac:dyDescent="0.2">
      <c r="C429" s="5"/>
    </row>
    <row r="430" spans="3:3" x14ac:dyDescent="0.2">
      <c r="C430" s="5"/>
    </row>
    <row r="431" spans="3:3" x14ac:dyDescent="0.2">
      <c r="C431" s="5"/>
    </row>
    <row r="432" spans="3:3" x14ac:dyDescent="0.2">
      <c r="C432" s="5"/>
    </row>
    <row r="433" spans="3:3" x14ac:dyDescent="0.2">
      <c r="C433" s="5"/>
    </row>
    <row r="434" spans="3:3" x14ac:dyDescent="0.2">
      <c r="C434" s="5"/>
    </row>
    <row r="435" spans="3:3" x14ac:dyDescent="0.2">
      <c r="C435" s="5"/>
    </row>
    <row r="436" spans="3:3" x14ac:dyDescent="0.2">
      <c r="C436" s="5"/>
    </row>
    <row r="437" spans="3:3" x14ac:dyDescent="0.2">
      <c r="C437" s="5"/>
    </row>
    <row r="438" spans="3:3" x14ac:dyDescent="0.2">
      <c r="C438" s="5"/>
    </row>
    <row r="439" spans="3:3" x14ac:dyDescent="0.2">
      <c r="C439" s="5"/>
    </row>
    <row r="440" spans="3:3" x14ac:dyDescent="0.2">
      <c r="C440" s="5"/>
    </row>
    <row r="441" spans="3:3" x14ac:dyDescent="0.2">
      <c r="C441" s="5"/>
    </row>
    <row r="442" spans="3:3" x14ac:dyDescent="0.2">
      <c r="C442" s="5"/>
    </row>
    <row r="443" spans="3:3" x14ac:dyDescent="0.2">
      <c r="C443" s="5"/>
    </row>
    <row r="444" spans="3:3" x14ac:dyDescent="0.2">
      <c r="C444" s="5"/>
    </row>
    <row r="445" spans="3:3" x14ac:dyDescent="0.2">
      <c r="C445" s="5"/>
    </row>
    <row r="446" spans="3:3" x14ac:dyDescent="0.2">
      <c r="C446" s="5"/>
    </row>
    <row r="447" spans="3:3" x14ac:dyDescent="0.2">
      <c r="C447" s="5"/>
    </row>
    <row r="448" spans="3:3" x14ac:dyDescent="0.2">
      <c r="C448" s="5"/>
    </row>
    <row r="449" spans="3:3" x14ac:dyDescent="0.2">
      <c r="C449" s="5"/>
    </row>
    <row r="450" spans="3:3" x14ac:dyDescent="0.2">
      <c r="C450" s="5"/>
    </row>
    <row r="451" spans="3:3" x14ac:dyDescent="0.2">
      <c r="C451" s="5"/>
    </row>
    <row r="452" spans="3:3" x14ac:dyDescent="0.2">
      <c r="C452" s="5"/>
    </row>
    <row r="453" spans="3:3" x14ac:dyDescent="0.2">
      <c r="C453" s="5"/>
    </row>
    <row r="454" spans="3:3" x14ac:dyDescent="0.2">
      <c r="C454" s="5"/>
    </row>
    <row r="455" spans="3:3" x14ac:dyDescent="0.2">
      <c r="C455" s="5"/>
    </row>
    <row r="456" spans="3:3" x14ac:dyDescent="0.2">
      <c r="C456" s="5"/>
    </row>
    <row r="457" spans="3:3" x14ac:dyDescent="0.2">
      <c r="C457" s="5"/>
    </row>
    <row r="458" spans="3:3" x14ac:dyDescent="0.2">
      <c r="C458" s="5"/>
    </row>
    <row r="459" spans="3:3" x14ac:dyDescent="0.2">
      <c r="C459" s="5"/>
    </row>
    <row r="460" spans="3:3" x14ac:dyDescent="0.2">
      <c r="C460" s="5"/>
    </row>
    <row r="461" spans="3:3" x14ac:dyDescent="0.2">
      <c r="C461" s="5"/>
    </row>
    <row r="462" spans="3:3" x14ac:dyDescent="0.2">
      <c r="C462" s="5"/>
    </row>
    <row r="463" spans="3:3" x14ac:dyDescent="0.2">
      <c r="C463" s="5"/>
    </row>
    <row r="464" spans="3:3" x14ac:dyDescent="0.2">
      <c r="C464" s="5"/>
    </row>
    <row r="465" spans="3:3" x14ac:dyDescent="0.2">
      <c r="C465" s="5"/>
    </row>
    <row r="466" spans="3:3" x14ac:dyDescent="0.2">
      <c r="C466" s="5"/>
    </row>
    <row r="467" spans="3:3" x14ac:dyDescent="0.2">
      <c r="C467" s="5"/>
    </row>
    <row r="468" spans="3:3" x14ac:dyDescent="0.2">
      <c r="C468" s="5"/>
    </row>
    <row r="469" spans="3:3" x14ac:dyDescent="0.2">
      <c r="C469" s="5"/>
    </row>
    <row r="470" spans="3:3" x14ac:dyDescent="0.2">
      <c r="C470" s="5"/>
    </row>
    <row r="471" spans="3:3" x14ac:dyDescent="0.2">
      <c r="C471" s="5"/>
    </row>
    <row r="472" spans="3:3" x14ac:dyDescent="0.2">
      <c r="C472" s="5"/>
    </row>
    <row r="473" spans="3:3" x14ac:dyDescent="0.2">
      <c r="C473" s="5"/>
    </row>
    <row r="474" spans="3:3" x14ac:dyDescent="0.2">
      <c r="C474" s="5"/>
    </row>
    <row r="475" spans="3:3" x14ac:dyDescent="0.2">
      <c r="C475" s="5"/>
    </row>
    <row r="476" spans="3:3" x14ac:dyDescent="0.2">
      <c r="C476" s="5"/>
    </row>
    <row r="477" spans="3:3" x14ac:dyDescent="0.2">
      <c r="C477" s="5"/>
    </row>
    <row r="478" spans="3:3" x14ac:dyDescent="0.2">
      <c r="C478" s="5"/>
    </row>
    <row r="479" spans="3:3" x14ac:dyDescent="0.2">
      <c r="C479" s="5"/>
    </row>
    <row r="480" spans="3:3" x14ac:dyDescent="0.2">
      <c r="C480" s="5"/>
    </row>
    <row r="481" spans="3:3" x14ac:dyDescent="0.2">
      <c r="C481" s="5"/>
    </row>
    <row r="482" spans="3:3" x14ac:dyDescent="0.2">
      <c r="C482" s="5"/>
    </row>
    <row r="483" spans="3:3" x14ac:dyDescent="0.2">
      <c r="C483" s="5"/>
    </row>
    <row r="484" spans="3:3" x14ac:dyDescent="0.2">
      <c r="C484" s="5"/>
    </row>
    <row r="485" spans="3:3" x14ac:dyDescent="0.2">
      <c r="C485" s="5"/>
    </row>
    <row r="486" spans="3:3" x14ac:dyDescent="0.2">
      <c r="C486" s="5"/>
    </row>
    <row r="487" spans="3:3" x14ac:dyDescent="0.2">
      <c r="C487" s="5"/>
    </row>
    <row r="488" spans="3:3" x14ac:dyDescent="0.2">
      <c r="C488" s="5"/>
    </row>
    <row r="489" spans="3:3" x14ac:dyDescent="0.2">
      <c r="C489" s="5"/>
    </row>
    <row r="490" spans="3:3" x14ac:dyDescent="0.2">
      <c r="C490" s="5"/>
    </row>
    <row r="491" spans="3:3" x14ac:dyDescent="0.2">
      <c r="C491" s="5"/>
    </row>
    <row r="492" spans="3:3" x14ac:dyDescent="0.2">
      <c r="C492" s="5"/>
    </row>
    <row r="493" spans="3:3" x14ac:dyDescent="0.2">
      <c r="C493" s="5"/>
    </row>
    <row r="494" spans="3:3" x14ac:dyDescent="0.2">
      <c r="C494" s="5"/>
    </row>
    <row r="495" spans="3:3" x14ac:dyDescent="0.2">
      <c r="C495" s="5"/>
    </row>
    <row r="496" spans="3:3" x14ac:dyDescent="0.2">
      <c r="C496" s="5"/>
    </row>
    <row r="497" spans="3:3" x14ac:dyDescent="0.2">
      <c r="C497" s="5"/>
    </row>
    <row r="498" spans="3:3" x14ac:dyDescent="0.2">
      <c r="C498" s="5"/>
    </row>
    <row r="499" spans="3:3" x14ac:dyDescent="0.2">
      <c r="C499" s="5"/>
    </row>
    <row r="500" spans="3:3" x14ac:dyDescent="0.2">
      <c r="C500" s="5"/>
    </row>
    <row r="501" spans="3:3" x14ac:dyDescent="0.2">
      <c r="C501" s="5"/>
    </row>
    <row r="502" spans="3:3" x14ac:dyDescent="0.2">
      <c r="C502" s="5"/>
    </row>
    <row r="503" spans="3:3" x14ac:dyDescent="0.2">
      <c r="C503" s="5"/>
    </row>
    <row r="504" spans="3:3" x14ac:dyDescent="0.2">
      <c r="C504" s="5"/>
    </row>
    <row r="505" spans="3:3" x14ac:dyDescent="0.2">
      <c r="C505" s="5"/>
    </row>
    <row r="506" spans="3:3" x14ac:dyDescent="0.2">
      <c r="C506" s="5"/>
    </row>
    <row r="507" spans="3:3" x14ac:dyDescent="0.2">
      <c r="C507" s="5"/>
    </row>
    <row r="508" spans="3:3" x14ac:dyDescent="0.2">
      <c r="C508" s="5"/>
    </row>
    <row r="509" spans="3:3" x14ac:dyDescent="0.2">
      <c r="C509" s="5"/>
    </row>
    <row r="510" spans="3:3" x14ac:dyDescent="0.2">
      <c r="C510" s="5"/>
    </row>
    <row r="511" spans="3:3" x14ac:dyDescent="0.2">
      <c r="C511" s="5"/>
    </row>
    <row r="512" spans="3:3" x14ac:dyDescent="0.2">
      <c r="C512" s="5"/>
    </row>
    <row r="513" spans="3:3" x14ac:dyDescent="0.2">
      <c r="C513" s="5"/>
    </row>
    <row r="514" spans="3:3" x14ac:dyDescent="0.2">
      <c r="C514" s="5"/>
    </row>
    <row r="515" spans="3:3" x14ac:dyDescent="0.2">
      <c r="C515" s="5"/>
    </row>
    <row r="516" spans="3:3" x14ac:dyDescent="0.2">
      <c r="C516" s="5"/>
    </row>
    <row r="517" spans="3:3" x14ac:dyDescent="0.2">
      <c r="C517" s="5"/>
    </row>
    <row r="518" spans="3:3" x14ac:dyDescent="0.2">
      <c r="C518" s="5"/>
    </row>
    <row r="519" spans="3:3" x14ac:dyDescent="0.2">
      <c r="C519" s="5"/>
    </row>
    <row r="520" spans="3:3" x14ac:dyDescent="0.2">
      <c r="C520" s="5"/>
    </row>
    <row r="521" spans="3:3" x14ac:dyDescent="0.2">
      <c r="C521" s="5"/>
    </row>
    <row r="522" spans="3:3" x14ac:dyDescent="0.2">
      <c r="C522" s="5"/>
    </row>
    <row r="523" spans="3:3" x14ac:dyDescent="0.2">
      <c r="C523" s="5"/>
    </row>
    <row r="524" spans="3:3" x14ac:dyDescent="0.2">
      <c r="C524" s="5"/>
    </row>
    <row r="525" spans="3:3" x14ac:dyDescent="0.2">
      <c r="C525" s="5"/>
    </row>
    <row r="526" spans="3:3" x14ac:dyDescent="0.2">
      <c r="C526" s="5"/>
    </row>
    <row r="527" spans="3:3" x14ac:dyDescent="0.2">
      <c r="C527" s="5"/>
    </row>
    <row r="528" spans="3:3" x14ac:dyDescent="0.2">
      <c r="C528" s="5"/>
    </row>
    <row r="529" spans="3:3" x14ac:dyDescent="0.2">
      <c r="C529" s="5"/>
    </row>
    <row r="530" spans="3:3" x14ac:dyDescent="0.2">
      <c r="C530" s="5"/>
    </row>
    <row r="531" spans="3:3" x14ac:dyDescent="0.2">
      <c r="C531" s="5"/>
    </row>
    <row r="532" spans="3:3" x14ac:dyDescent="0.2">
      <c r="C532" s="5"/>
    </row>
    <row r="533" spans="3:3" x14ac:dyDescent="0.2">
      <c r="C533" s="5"/>
    </row>
    <row r="534" spans="3:3" x14ac:dyDescent="0.2">
      <c r="C534" s="5"/>
    </row>
    <row r="535" spans="3:3" x14ac:dyDescent="0.2">
      <c r="C535" s="5"/>
    </row>
    <row r="536" spans="3:3" x14ac:dyDescent="0.2">
      <c r="C536" s="5"/>
    </row>
    <row r="537" spans="3:3" x14ac:dyDescent="0.2">
      <c r="C537" s="5"/>
    </row>
    <row r="538" spans="3:3" x14ac:dyDescent="0.2">
      <c r="C538" s="5"/>
    </row>
    <row r="539" spans="3:3" x14ac:dyDescent="0.2">
      <c r="C539" s="5"/>
    </row>
    <row r="540" spans="3:3" x14ac:dyDescent="0.2">
      <c r="C540" s="5"/>
    </row>
    <row r="541" spans="3:3" x14ac:dyDescent="0.2">
      <c r="C541" s="5"/>
    </row>
    <row r="542" spans="3:3" x14ac:dyDescent="0.2">
      <c r="C542" s="5"/>
    </row>
    <row r="543" spans="3:3" x14ac:dyDescent="0.2">
      <c r="C543" s="5"/>
    </row>
    <row r="544" spans="3:3" x14ac:dyDescent="0.2">
      <c r="C544" s="5"/>
    </row>
    <row r="545" spans="3:3" x14ac:dyDescent="0.2">
      <c r="C545" s="5"/>
    </row>
    <row r="546" spans="3:3" x14ac:dyDescent="0.2">
      <c r="C546" s="5"/>
    </row>
    <row r="547" spans="3:3" x14ac:dyDescent="0.2">
      <c r="C547" s="5"/>
    </row>
    <row r="548" spans="3:3" x14ac:dyDescent="0.2">
      <c r="C548" s="5"/>
    </row>
    <row r="549" spans="3:3" x14ac:dyDescent="0.2">
      <c r="C549" s="5"/>
    </row>
    <row r="550" spans="3:3" x14ac:dyDescent="0.2">
      <c r="C550" s="5"/>
    </row>
    <row r="551" spans="3:3" x14ac:dyDescent="0.2">
      <c r="C551" s="5"/>
    </row>
    <row r="552" spans="3:3" x14ac:dyDescent="0.2">
      <c r="C552" s="5"/>
    </row>
    <row r="553" spans="3:3" x14ac:dyDescent="0.2">
      <c r="C553" s="5"/>
    </row>
    <row r="554" spans="3:3" x14ac:dyDescent="0.2">
      <c r="C554" s="5"/>
    </row>
    <row r="555" spans="3:3" x14ac:dyDescent="0.2">
      <c r="C555" s="5"/>
    </row>
    <row r="556" spans="3:3" x14ac:dyDescent="0.2">
      <c r="C556" s="5"/>
    </row>
    <row r="557" spans="3:3" x14ac:dyDescent="0.2">
      <c r="C557" s="5"/>
    </row>
    <row r="558" spans="3:3" x14ac:dyDescent="0.2">
      <c r="C558" s="5"/>
    </row>
    <row r="559" spans="3:3" x14ac:dyDescent="0.2">
      <c r="C559" s="5"/>
    </row>
    <row r="560" spans="3:3" x14ac:dyDescent="0.2">
      <c r="C560" s="5"/>
    </row>
    <row r="561" spans="3:3" x14ac:dyDescent="0.2">
      <c r="C561" s="5"/>
    </row>
    <row r="562" spans="3:3" x14ac:dyDescent="0.2">
      <c r="C562" s="5"/>
    </row>
    <row r="563" spans="3:3" x14ac:dyDescent="0.2">
      <c r="C563" s="5"/>
    </row>
    <row r="564" spans="3:3" x14ac:dyDescent="0.2">
      <c r="C564" s="5"/>
    </row>
    <row r="565" spans="3:3" x14ac:dyDescent="0.2">
      <c r="C565" s="5"/>
    </row>
    <row r="566" spans="3:3" x14ac:dyDescent="0.2">
      <c r="C566" s="5"/>
    </row>
    <row r="567" spans="3:3" x14ac:dyDescent="0.2">
      <c r="C567" s="5"/>
    </row>
    <row r="568" spans="3:3" x14ac:dyDescent="0.2">
      <c r="C568" s="5"/>
    </row>
    <row r="569" spans="3:3" x14ac:dyDescent="0.2">
      <c r="C569" s="5"/>
    </row>
    <row r="570" spans="3:3" x14ac:dyDescent="0.2">
      <c r="C570" s="5"/>
    </row>
    <row r="571" spans="3:3" x14ac:dyDescent="0.2">
      <c r="C571" s="5"/>
    </row>
    <row r="572" spans="3:3" x14ac:dyDescent="0.2">
      <c r="C572" s="5"/>
    </row>
    <row r="573" spans="3:3" x14ac:dyDescent="0.2">
      <c r="C573" s="5"/>
    </row>
    <row r="574" spans="3:3" x14ac:dyDescent="0.2">
      <c r="C574" s="5"/>
    </row>
    <row r="575" spans="3:3" x14ac:dyDescent="0.2">
      <c r="C575" s="5"/>
    </row>
    <row r="576" spans="3:3" x14ac:dyDescent="0.2">
      <c r="C576" s="5"/>
    </row>
    <row r="577" spans="3:3" x14ac:dyDescent="0.2">
      <c r="C577" s="5"/>
    </row>
    <row r="578" spans="3:3" x14ac:dyDescent="0.2">
      <c r="C578" s="5"/>
    </row>
    <row r="579" spans="3:3" x14ac:dyDescent="0.2">
      <c r="C579" s="5"/>
    </row>
    <row r="580" spans="3:3" x14ac:dyDescent="0.2">
      <c r="C580" s="5"/>
    </row>
    <row r="581" spans="3:3" x14ac:dyDescent="0.2">
      <c r="C581" s="5"/>
    </row>
    <row r="582" spans="3:3" x14ac:dyDescent="0.2">
      <c r="C582" s="5"/>
    </row>
    <row r="583" spans="3:3" x14ac:dyDescent="0.2">
      <c r="C583" s="5"/>
    </row>
    <row r="584" spans="3:3" x14ac:dyDescent="0.2">
      <c r="C584" s="5"/>
    </row>
    <row r="585" spans="3:3" x14ac:dyDescent="0.2">
      <c r="C585" s="5"/>
    </row>
    <row r="586" spans="3:3" x14ac:dyDescent="0.2">
      <c r="C586" s="5"/>
    </row>
    <row r="587" spans="3:3" x14ac:dyDescent="0.2">
      <c r="C587" s="5"/>
    </row>
    <row r="588" spans="3:3" x14ac:dyDescent="0.2">
      <c r="C588" s="5"/>
    </row>
    <row r="589" spans="3:3" x14ac:dyDescent="0.2">
      <c r="C589" s="5"/>
    </row>
    <row r="590" spans="3:3" x14ac:dyDescent="0.2">
      <c r="C590" s="5"/>
    </row>
    <row r="591" spans="3:3" x14ac:dyDescent="0.2">
      <c r="C591" s="5"/>
    </row>
    <row r="592" spans="3:3" x14ac:dyDescent="0.2">
      <c r="C592" s="5"/>
    </row>
    <row r="593" spans="3:3" x14ac:dyDescent="0.2">
      <c r="C593" s="5"/>
    </row>
    <row r="594" spans="3:3" x14ac:dyDescent="0.2">
      <c r="C594" s="5"/>
    </row>
    <row r="595" spans="3:3" x14ac:dyDescent="0.2">
      <c r="C595" s="5"/>
    </row>
    <row r="596" spans="3:3" x14ac:dyDescent="0.2">
      <c r="C596" s="5"/>
    </row>
    <row r="597" spans="3:3" x14ac:dyDescent="0.2">
      <c r="C597" s="5"/>
    </row>
    <row r="598" spans="3:3" x14ac:dyDescent="0.2">
      <c r="C598" s="5"/>
    </row>
    <row r="599" spans="3:3" x14ac:dyDescent="0.2">
      <c r="C599" s="5"/>
    </row>
    <row r="600" spans="3:3" x14ac:dyDescent="0.2">
      <c r="C600" s="5"/>
    </row>
    <row r="601" spans="3:3" x14ac:dyDescent="0.2">
      <c r="C601" s="5"/>
    </row>
    <row r="602" spans="3:3" x14ac:dyDescent="0.2">
      <c r="C602" s="5"/>
    </row>
    <row r="603" spans="3:3" x14ac:dyDescent="0.2">
      <c r="C603" s="5"/>
    </row>
    <row r="604" spans="3:3" x14ac:dyDescent="0.2">
      <c r="C604" s="5"/>
    </row>
    <row r="605" spans="3:3" x14ac:dyDescent="0.2">
      <c r="C605" s="5"/>
    </row>
    <row r="606" spans="3:3" x14ac:dyDescent="0.2">
      <c r="C606" s="5"/>
    </row>
    <row r="607" spans="3:3" x14ac:dyDescent="0.2">
      <c r="C607" s="5"/>
    </row>
    <row r="608" spans="3:3" x14ac:dyDescent="0.2">
      <c r="C608" s="5"/>
    </row>
    <row r="609" spans="3:3" x14ac:dyDescent="0.2">
      <c r="C609" s="5"/>
    </row>
    <row r="610" spans="3:3" x14ac:dyDescent="0.2">
      <c r="C610" s="5"/>
    </row>
    <row r="611" spans="3:3" x14ac:dyDescent="0.2">
      <c r="C611" s="5"/>
    </row>
    <row r="612" spans="3:3" x14ac:dyDescent="0.2">
      <c r="C612" s="5"/>
    </row>
    <row r="613" spans="3:3" x14ac:dyDescent="0.2">
      <c r="C613" s="5"/>
    </row>
    <row r="614" spans="3:3" x14ac:dyDescent="0.2">
      <c r="C614" s="5"/>
    </row>
    <row r="615" spans="3:3" x14ac:dyDescent="0.2">
      <c r="C615" s="5"/>
    </row>
    <row r="616" spans="3:3" x14ac:dyDescent="0.2">
      <c r="C616" s="5"/>
    </row>
    <row r="617" spans="3:3" x14ac:dyDescent="0.2">
      <c r="C617" s="5"/>
    </row>
    <row r="618" spans="3:3" x14ac:dyDescent="0.2">
      <c r="C618" s="5"/>
    </row>
    <row r="619" spans="3:3" x14ac:dyDescent="0.2">
      <c r="C619" s="5"/>
    </row>
    <row r="620" spans="3:3" x14ac:dyDescent="0.2">
      <c r="C620" s="5"/>
    </row>
    <row r="621" spans="3:3" x14ac:dyDescent="0.2">
      <c r="C621" s="5"/>
    </row>
    <row r="622" spans="3:3" x14ac:dyDescent="0.2">
      <c r="C622" s="5"/>
    </row>
    <row r="623" spans="3:3" x14ac:dyDescent="0.2">
      <c r="C623" s="5"/>
    </row>
    <row r="624" spans="3:3" x14ac:dyDescent="0.2">
      <c r="C624" s="5"/>
    </row>
    <row r="625" spans="3:3" x14ac:dyDescent="0.2">
      <c r="C625" s="5"/>
    </row>
    <row r="626" spans="3:3" x14ac:dyDescent="0.2">
      <c r="C626" s="5"/>
    </row>
    <row r="627" spans="3:3" x14ac:dyDescent="0.2">
      <c r="C627" s="5"/>
    </row>
    <row r="628" spans="3:3" x14ac:dyDescent="0.2">
      <c r="C628" s="5"/>
    </row>
    <row r="629" spans="3:3" x14ac:dyDescent="0.2">
      <c r="C629" s="5"/>
    </row>
    <row r="630" spans="3:3" x14ac:dyDescent="0.2">
      <c r="C630" s="5"/>
    </row>
    <row r="631" spans="3:3" x14ac:dyDescent="0.2">
      <c r="C631" s="5"/>
    </row>
    <row r="632" spans="3:3" x14ac:dyDescent="0.2">
      <c r="C632" s="5"/>
    </row>
    <row r="633" spans="3:3" x14ac:dyDescent="0.2">
      <c r="C633" s="5"/>
    </row>
    <row r="634" spans="3:3" x14ac:dyDescent="0.2">
      <c r="C634" s="5"/>
    </row>
    <row r="635" spans="3:3" x14ac:dyDescent="0.2">
      <c r="C635" s="5"/>
    </row>
    <row r="636" spans="3:3" x14ac:dyDescent="0.2">
      <c r="C636" s="5"/>
    </row>
    <row r="637" spans="3:3" x14ac:dyDescent="0.2">
      <c r="C637" s="5"/>
    </row>
    <row r="638" spans="3:3" x14ac:dyDescent="0.2">
      <c r="C638" s="5"/>
    </row>
    <row r="639" spans="3:3" x14ac:dyDescent="0.2">
      <c r="C639" s="5"/>
    </row>
    <row r="640" spans="3:3" x14ac:dyDescent="0.2">
      <c r="C640" s="5"/>
    </row>
    <row r="641" spans="3:3" x14ac:dyDescent="0.2">
      <c r="C641" s="5"/>
    </row>
    <row r="642" spans="3:3" x14ac:dyDescent="0.2">
      <c r="C642" s="5"/>
    </row>
    <row r="643" spans="3:3" x14ac:dyDescent="0.2">
      <c r="C643" s="5"/>
    </row>
    <row r="644" spans="3:3" x14ac:dyDescent="0.2">
      <c r="C644" s="5"/>
    </row>
    <row r="645" spans="3:3" x14ac:dyDescent="0.2">
      <c r="C645" s="5"/>
    </row>
    <row r="646" spans="3:3" x14ac:dyDescent="0.2">
      <c r="C646" s="5"/>
    </row>
    <row r="647" spans="3:3" x14ac:dyDescent="0.2">
      <c r="C647" s="5"/>
    </row>
    <row r="648" spans="3:3" x14ac:dyDescent="0.2">
      <c r="C648" s="5"/>
    </row>
    <row r="649" spans="3:3" x14ac:dyDescent="0.2">
      <c r="C649" s="5"/>
    </row>
    <row r="650" spans="3:3" x14ac:dyDescent="0.2">
      <c r="C650" s="5"/>
    </row>
    <row r="651" spans="3:3" x14ac:dyDescent="0.2">
      <c r="C651" s="5"/>
    </row>
    <row r="652" spans="3:3" x14ac:dyDescent="0.2">
      <c r="C652" s="5"/>
    </row>
    <row r="653" spans="3:3" x14ac:dyDescent="0.2">
      <c r="C653" s="5"/>
    </row>
    <row r="654" spans="3:3" x14ac:dyDescent="0.2">
      <c r="C654" s="5"/>
    </row>
    <row r="655" spans="3:3" x14ac:dyDescent="0.2">
      <c r="C655" s="5"/>
    </row>
    <row r="656" spans="3:3" x14ac:dyDescent="0.2">
      <c r="C656" s="5"/>
    </row>
    <row r="657" spans="3:3" x14ac:dyDescent="0.2">
      <c r="C657" s="5"/>
    </row>
    <row r="658" spans="3:3" x14ac:dyDescent="0.2">
      <c r="C658" s="5"/>
    </row>
    <row r="659" spans="3:3" x14ac:dyDescent="0.2">
      <c r="C659" s="5"/>
    </row>
    <row r="660" spans="3:3" x14ac:dyDescent="0.2">
      <c r="C660" s="5"/>
    </row>
    <row r="661" spans="3:3" x14ac:dyDescent="0.2">
      <c r="C661" s="5"/>
    </row>
    <row r="662" spans="3:3" x14ac:dyDescent="0.2">
      <c r="C662" s="5"/>
    </row>
    <row r="663" spans="3:3" x14ac:dyDescent="0.2">
      <c r="C663" s="5"/>
    </row>
    <row r="664" spans="3:3" x14ac:dyDescent="0.2">
      <c r="C664" s="5"/>
    </row>
    <row r="665" spans="3:3" x14ac:dyDescent="0.2">
      <c r="C665" s="5"/>
    </row>
    <row r="666" spans="3:3" x14ac:dyDescent="0.2">
      <c r="C666" s="5"/>
    </row>
    <row r="667" spans="3:3" x14ac:dyDescent="0.2">
      <c r="C667" s="5"/>
    </row>
    <row r="668" spans="3:3" x14ac:dyDescent="0.2">
      <c r="C668" s="5"/>
    </row>
    <row r="669" spans="3:3" x14ac:dyDescent="0.2">
      <c r="C669" s="5"/>
    </row>
    <row r="670" spans="3:3" x14ac:dyDescent="0.2">
      <c r="C670" s="5"/>
    </row>
    <row r="671" spans="3:3" x14ac:dyDescent="0.2">
      <c r="C671" s="5"/>
    </row>
    <row r="672" spans="3:3" x14ac:dyDescent="0.2">
      <c r="C672" s="5"/>
    </row>
    <row r="673" spans="3:3" x14ac:dyDescent="0.2">
      <c r="C673" s="5"/>
    </row>
    <row r="674" spans="3:3" x14ac:dyDescent="0.2">
      <c r="C674" s="5"/>
    </row>
    <row r="675" spans="3:3" x14ac:dyDescent="0.2">
      <c r="C675" s="5"/>
    </row>
    <row r="676" spans="3:3" x14ac:dyDescent="0.2">
      <c r="C676" s="5"/>
    </row>
    <row r="677" spans="3:3" x14ac:dyDescent="0.2">
      <c r="C677" s="5"/>
    </row>
    <row r="678" spans="3:3" x14ac:dyDescent="0.2">
      <c r="C678" s="5"/>
    </row>
    <row r="679" spans="3:3" x14ac:dyDescent="0.2">
      <c r="C679" s="5"/>
    </row>
    <row r="680" spans="3:3" x14ac:dyDescent="0.2">
      <c r="C680" s="5"/>
    </row>
    <row r="681" spans="3:3" x14ac:dyDescent="0.2">
      <c r="C681" s="5"/>
    </row>
    <row r="682" spans="3:3" x14ac:dyDescent="0.2">
      <c r="C682" s="5"/>
    </row>
    <row r="683" spans="3:3" x14ac:dyDescent="0.2">
      <c r="C683" s="5"/>
    </row>
    <row r="684" spans="3:3" x14ac:dyDescent="0.2">
      <c r="C684" s="5"/>
    </row>
    <row r="685" spans="3:3" x14ac:dyDescent="0.2">
      <c r="C685" s="5"/>
    </row>
    <row r="686" spans="3:3" x14ac:dyDescent="0.2">
      <c r="C686" s="5"/>
    </row>
    <row r="687" spans="3:3" x14ac:dyDescent="0.2">
      <c r="C687" s="5"/>
    </row>
    <row r="688" spans="3:3" x14ac:dyDescent="0.2">
      <c r="C688" s="5"/>
    </row>
    <row r="689" spans="3:3" x14ac:dyDescent="0.2">
      <c r="C689" s="5"/>
    </row>
    <row r="690" spans="3:3" x14ac:dyDescent="0.2">
      <c r="C690" s="5"/>
    </row>
    <row r="691" spans="3:3" x14ac:dyDescent="0.2">
      <c r="C691" s="5"/>
    </row>
    <row r="692" spans="3:3" x14ac:dyDescent="0.2">
      <c r="C692" s="5"/>
    </row>
    <row r="693" spans="3:3" x14ac:dyDescent="0.2">
      <c r="C693" s="5"/>
    </row>
    <row r="694" spans="3:3" x14ac:dyDescent="0.2">
      <c r="C694" s="5"/>
    </row>
    <row r="695" spans="3:3" x14ac:dyDescent="0.2">
      <c r="C695" s="5"/>
    </row>
    <row r="696" spans="3:3" x14ac:dyDescent="0.2">
      <c r="C696" s="5"/>
    </row>
    <row r="697" spans="3:3" x14ac:dyDescent="0.2">
      <c r="C697" s="5"/>
    </row>
    <row r="698" spans="3:3" x14ac:dyDescent="0.2">
      <c r="C698" s="5"/>
    </row>
    <row r="699" spans="3:3" x14ac:dyDescent="0.2">
      <c r="C699" s="5"/>
    </row>
    <row r="700" spans="3:3" x14ac:dyDescent="0.2">
      <c r="C700" s="5"/>
    </row>
    <row r="701" spans="3:3" x14ac:dyDescent="0.2">
      <c r="C701" s="5"/>
    </row>
    <row r="702" spans="3:3" x14ac:dyDescent="0.2">
      <c r="C702" s="5"/>
    </row>
    <row r="703" spans="3:3" x14ac:dyDescent="0.2">
      <c r="C703" s="5"/>
    </row>
    <row r="704" spans="3:3" x14ac:dyDescent="0.2">
      <c r="C704" s="5"/>
    </row>
    <row r="705" spans="3:3" x14ac:dyDescent="0.2">
      <c r="C705" s="5"/>
    </row>
    <row r="706" spans="3:3" x14ac:dyDescent="0.2">
      <c r="C706" s="5"/>
    </row>
    <row r="707" spans="3:3" x14ac:dyDescent="0.2">
      <c r="C707" s="5"/>
    </row>
    <row r="708" spans="3:3" x14ac:dyDescent="0.2">
      <c r="C708" s="5"/>
    </row>
    <row r="709" spans="3:3" x14ac:dyDescent="0.2">
      <c r="C709" s="5"/>
    </row>
    <row r="710" spans="3:3" x14ac:dyDescent="0.2">
      <c r="C710" s="5"/>
    </row>
    <row r="711" spans="3:3" x14ac:dyDescent="0.2">
      <c r="C711" s="5"/>
    </row>
    <row r="712" spans="3:3" x14ac:dyDescent="0.2">
      <c r="C712" s="5"/>
    </row>
    <row r="713" spans="3:3" x14ac:dyDescent="0.2">
      <c r="C713" s="5"/>
    </row>
    <row r="714" spans="3:3" x14ac:dyDescent="0.2">
      <c r="C714" s="5"/>
    </row>
    <row r="715" spans="3:3" x14ac:dyDescent="0.2">
      <c r="C715" s="5"/>
    </row>
    <row r="716" spans="3:3" x14ac:dyDescent="0.2">
      <c r="C716" s="5"/>
    </row>
    <row r="717" spans="3:3" x14ac:dyDescent="0.2">
      <c r="C717" s="5"/>
    </row>
    <row r="718" spans="3:3" x14ac:dyDescent="0.2">
      <c r="C718" s="5"/>
    </row>
    <row r="719" spans="3:3" x14ac:dyDescent="0.2">
      <c r="C719" s="5"/>
    </row>
    <row r="720" spans="3:3" x14ac:dyDescent="0.2">
      <c r="C720" s="5"/>
    </row>
    <row r="721" spans="3:3" x14ac:dyDescent="0.2">
      <c r="C721" s="5"/>
    </row>
    <row r="722" spans="3:3" x14ac:dyDescent="0.2">
      <c r="C722" s="5"/>
    </row>
    <row r="723" spans="3:3" x14ac:dyDescent="0.2">
      <c r="C723" s="5"/>
    </row>
    <row r="724" spans="3:3" x14ac:dyDescent="0.2">
      <c r="C724" s="5"/>
    </row>
    <row r="725" spans="3:3" x14ac:dyDescent="0.2">
      <c r="C725" s="5"/>
    </row>
    <row r="726" spans="3:3" x14ac:dyDescent="0.2">
      <c r="C726" s="5"/>
    </row>
    <row r="727" spans="3:3" x14ac:dyDescent="0.2">
      <c r="C727" s="5"/>
    </row>
    <row r="728" spans="3:3" x14ac:dyDescent="0.2">
      <c r="C728" s="5"/>
    </row>
    <row r="729" spans="3:3" x14ac:dyDescent="0.2">
      <c r="C729" s="5"/>
    </row>
    <row r="730" spans="3:3" x14ac:dyDescent="0.2">
      <c r="C730" s="5"/>
    </row>
    <row r="731" spans="3:3" x14ac:dyDescent="0.2">
      <c r="C731" s="5"/>
    </row>
    <row r="732" spans="3:3" x14ac:dyDescent="0.2">
      <c r="C732" s="5"/>
    </row>
    <row r="733" spans="3:3" x14ac:dyDescent="0.2">
      <c r="C733" s="5"/>
    </row>
    <row r="734" spans="3:3" x14ac:dyDescent="0.2">
      <c r="C734" s="5"/>
    </row>
    <row r="735" spans="3:3" x14ac:dyDescent="0.2">
      <c r="C735" s="5"/>
    </row>
    <row r="736" spans="3:3" x14ac:dyDescent="0.2">
      <c r="C736" s="5"/>
    </row>
    <row r="737" spans="3:3" x14ac:dyDescent="0.2">
      <c r="C737" s="5"/>
    </row>
    <row r="738" spans="3:3" x14ac:dyDescent="0.2">
      <c r="C738" s="5"/>
    </row>
    <row r="739" spans="3:3" x14ac:dyDescent="0.2">
      <c r="C739" s="5"/>
    </row>
    <row r="740" spans="3:3" x14ac:dyDescent="0.2">
      <c r="C740" s="5"/>
    </row>
    <row r="741" spans="3:3" x14ac:dyDescent="0.2">
      <c r="C741" s="5"/>
    </row>
    <row r="742" spans="3:3" x14ac:dyDescent="0.2">
      <c r="C742" s="5"/>
    </row>
    <row r="743" spans="3:3" x14ac:dyDescent="0.2">
      <c r="C743" s="5"/>
    </row>
    <row r="744" spans="3:3" x14ac:dyDescent="0.2">
      <c r="C744" s="5"/>
    </row>
    <row r="745" spans="3:3" x14ac:dyDescent="0.2">
      <c r="C745" s="5"/>
    </row>
    <row r="746" spans="3:3" x14ac:dyDescent="0.2">
      <c r="C746" s="5"/>
    </row>
    <row r="747" spans="3:3" x14ac:dyDescent="0.2">
      <c r="C747" s="5"/>
    </row>
    <row r="748" spans="3:3" x14ac:dyDescent="0.2">
      <c r="C748" s="5"/>
    </row>
    <row r="749" spans="3:3" x14ac:dyDescent="0.2">
      <c r="C749" s="5"/>
    </row>
    <row r="750" spans="3:3" x14ac:dyDescent="0.2">
      <c r="C750" s="5"/>
    </row>
    <row r="751" spans="3:3" x14ac:dyDescent="0.2">
      <c r="C751" s="5"/>
    </row>
    <row r="752" spans="3:3" x14ac:dyDescent="0.2">
      <c r="C752" s="5"/>
    </row>
    <row r="753" spans="3:3" x14ac:dyDescent="0.2">
      <c r="C753" s="5"/>
    </row>
    <row r="754" spans="3:3" x14ac:dyDescent="0.2">
      <c r="C754" s="5"/>
    </row>
    <row r="755" spans="3:3" x14ac:dyDescent="0.2">
      <c r="C755" s="5"/>
    </row>
    <row r="756" spans="3:3" x14ac:dyDescent="0.2">
      <c r="C756" s="5"/>
    </row>
    <row r="757" spans="3:3" x14ac:dyDescent="0.2">
      <c r="C757" s="5"/>
    </row>
    <row r="758" spans="3:3" x14ac:dyDescent="0.2">
      <c r="C758" s="5"/>
    </row>
    <row r="759" spans="3:3" x14ac:dyDescent="0.2">
      <c r="C759" s="5"/>
    </row>
    <row r="760" spans="3:3" x14ac:dyDescent="0.2">
      <c r="C760" s="5"/>
    </row>
    <row r="761" spans="3:3" x14ac:dyDescent="0.2">
      <c r="C761" s="5"/>
    </row>
    <row r="762" spans="3:3" x14ac:dyDescent="0.2">
      <c r="C762" s="5"/>
    </row>
    <row r="763" spans="3:3" x14ac:dyDescent="0.2">
      <c r="C763" s="5"/>
    </row>
    <row r="764" spans="3:3" x14ac:dyDescent="0.2">
      <c r="C764" s="5"/>
    </row>
    <row r="765" spans="3:3" x14ac:dyDescent="0.2">
      <c r="C765" s="5"/>
    </row>
    <row r="766" spans="3:3" x14ac:dyDescent="0.2">
      <c r="C766" s="5"/>
    </row>
    <row r="767" spans="3:3" x14ac:dyDescent="0.2">
      <c r="C767" s="5"/>
    </row>
    <row r="768" spans="3:3" x14ac:dyDescent="0.2">
      <c r="C768" s="5"/>
    </row>
    <row r="769" spans="3:3" x14ac:dyDescent="0.2">
      <c r="C769" s="5"/>
    </row>
    <row r="770" spans="3:3" x14ac:dyDescent="0.2">
      <c r="C770" s="5"/>
    </row>
    <row r="771" spans="3:3" x14ac:dyDescent="0.2">
      <c r="C771" s="5"/>
    </row>
    <row r="772" spans="3:3" x14ac:dyDescent="0.2">
      <c r="C772" s="5"/>
    </row>
    <row r="773" spans="3:3" x14ac:dyDescent="0.2">
      <c r="C773" s="5"/>
    </row>
    <row r="774" spans="3:3" x14ac:dyDescent="0.2">
      <c r="C774" s="5"/>
    </row>
    <row r="775" spans="3:3" x14ac:dyDescent="0.2">
      <c r="C775" s="5"/>
    </row>
    <row r="776" spans="3:3" x14ac:dyDescent="0.2">
      <c r="C776" s="5"/>
    </row>
    <row r="777" spans="3:3" x14ac:dyDescent="0.2">
      <c r="C777" s="5"/>
    </row>
    <row r="778" spans="3:3" x14ac:dyDescent="0.2">
      <c r="C778" s="5"/>
    </row>
    <row r="779" spans="3:3" x14ac:dyDescent="0.2">
      <c r="C779" s="5"/>
    </row>
    <row r="780" spans="3:3" x14ac:dyDescent="0.2">
      <c r="C780" s="5"/>
    </row>
    <row r="781" spans="3:3" x14ac:dyDescent="0.2">
      <c r="C781" s="5"/>
    </row>
    <row r="782" spans="3:3" x14ac:dyDescent="0.2">
      <c r="C782" s="5"/>
    </row>
    <row r="783" spans="3:3" x14ac:dyDescent="0.2">
      <c r="C783" s="5"/>
    </row>
    <row r="784" spans="3:3" x14ac:dyDescent="0.2">
      <c r="C784" s="5"/>
    </row>
    <row r="785" spans="3:3" x14ac:dyDescent="0.2">
      <c r="C785" s="5"/>
    </row>
    <row r="786" spans="3:3" x14ac:dyDescent="0.2">
      <c r="C786" s="5"/>
    </row>
    <row r="787" spans="3:3" x14ac:dyDescent="0.2">
      <c r="C787" s="5"/>
    </row>
    <row r="788" spans="3:3" x14ac:dyDescent="0.2">
      <c r="C788" s="5"/>
    </row>
    <row r="789" spans="3:3" x14ac:dyDescent="0.2">
      <c r="C789" s="5"/>
    </row>
    <row r="790" spans="3:3" x14ac:dyDescent="0.2">
      <c r="C790" s="5"/>
    </row>
    <row r="791" spans="3:3" x14ac:dyDescent="0.2">
      <c r="C791" s="5"/>
    </row>
    <row r="792" spans="3:3" x14ac:dyDescent="0.2">
      <c r="C792" s="5"/>
    </row>
    <row r="793" spans="3:3" x14ac:dyDescent="0.2">
      <c r="C793" s="5"/>
    </row>
    <row r="794" spans="3:3" x14ac:dyDescent="0.2">
      <c r="C794" s="5"/>
    </row>
    <row r="795" spans="3:3" x14ac:dyDescent="0.2">
      <c r="C795" s="5"/>
    </row>
    <row r="796" spans="3:3" x14ac:dyDescent="0.2">
      <c r="C796" s="5"/>
    </row>
    <row r="797" spans="3:3" x14ac:dyDescent="0.2">
      <c r="C797" s="5"/>
    </row>
    <row r="798" spans="3:3" x14ac:dyDescent="0.2">
      <c r="C798" s="5"/>
    </row>
    <row r="799" spans="3:3" x14ac:dyDescent="0.2">
      <c r="C799" s="5"/>
    </row>
    <row r="800" spans="3:3" x14ac:dyDescent="0.2">
      <c r="C800" s="5"/>
    </row>
    <row r="801" spans="3:3" x14ac:dyDescent="0.2">
      <c r="C801" s="5"/>
    </row>
    <row r="802" spans="3:3" x14ac:dyDescent="0.2">
      <c r="C802" s="5"/>
    </row>
    <row r="803" spans="3:3" x14ac:dyDescent="0.2">
      <c r="C803" s="5"/>
    </row>
    <row r="804" spans="3:3" x14ac:dyDescent="0.2">
      <c r="C804" s="5"/>
    </row>
    <row r="805" spans="3:3" x14ac:dyDescent="0.2">
      <c r="C805" s="5"/>
    </row>
    <row r="806" spans="3:3" x14ac:dyDescent="0.2">
      <c r="C806" s="5"/>
    </row>
    <row r="807" spans="3:3" x14ac:dyDescent="0.2">
      <c r="C807" s="5"/>
    </row>
    <row r="808" spans="3:3" x14ac:dyDescent="0.2">
      <c r="C808" s="5"/>
    </row>
    <row r="809" spans="3:3" x14ac:dyDescent="0.2">
      <c r="C809" s="5"/>
    </row>
    <row r="810" spans="3:3" x14ac:dyDescent="0.2">
      <c r="C810" s="5"/>
    </row>
    <row r="811" spans="3:3" x14ac:dyDescent="0.2">
      <c r="C811" s="5"/>
    </row>
    <row r="812" spans="3:3" x14ac:dyDescent="0.2">
      <c r="C812" s="5"/>
    </row>
    <row r="813" spans="3:3" x14ac:dyDescent="0.2">
      <c r="C813" s="5"/>
    </row>
    <row r="814" spans="3:3" x14ac:dyDescent="0.2">
      <c r="C814" s="5"/>
    </row>
    <row r="815" spans="3:3" x14ac:dyDescent="0.2">
      <c r="C815" s="5"/>
    </row>
    <row r="816" spans="3:3" x14ac:dyDescent="0.2">
      <c r="C816" s="5"/>
    </row>
    <row r="817" spans="3:3" x14ac:dyDescent="0.2">
      <c r="C817" s="5"/>
    </row>
    <row r="818" spans="3:3" x14ac:dyDescent="0.2">
      <c r="C818" s="5"/>
    </row>
    <row r="819" spans="3:3" x14ac:dyDescent="0.2">
      <c r="C819" s="5"/>
    </row>
    <row r="820" spans="3:3" x14ac:dyDescent="0.2">
      <c r="C820" s="5"/>
    </row>
    <row r="821" spans="3:3" x14ac:dyDescent="0.2">
      <c r="C821" s="5"/>
    </row>
    <row r="822" spans="3:3" x14ac:dyDescent="0.2">
      <c r="C822" s="5"/>
    </row>
    <row r="823" spans="3:3" x14ac:dyDescent="0.2">
      <c r="C823" s="5"/>
    </row>
    <row r="824" spans="3:3" x14ac:dyDescent="0.2">
      <c r="C824" s="5"/>
    </row>
    <row r="825" spans="3:3" x14ac:dyDescent="0.2">
      <c r="C825" s="5"/>
    </row>
    <row r="826" spans="3:3" x14ac:dyDescent="0.2">
      <c r="C826" s="5"/>
    </row>
    <row r="827" spans="3:3" x14ac:dyDescent="0.2">
      <c r="C827" s="5"/>
    </row>
    <row r="828" spans="3:3" x14ac:dyDescent="0.2">
      <c r="C828" s="5"/>
    </row>
    <row r="829" spans="3:3" x14ac:dyDescent="0.2">
      <c r="C829" s="5"/>
    </row>
    <row r="830" spans="3:3" x14ac:dyDescent="0.2">
      <c r="C830" s="5"/>
    </row>
    <row r="831" spans="3:3" x14ac:dyDescent="0.2">
      <c r="C831" s="5"/>
    </row>
    <row r="832" spans="3:3" x14ac:dyDescent="0.2">
      <c r="C832" s="5"/>
    </row>
    <row r="833" spans="3:3" x14ac:dyDescent="0.2">
      <c r="C833" s="5"/>
    </row>
    <row r="834" spans="3:3" x14ac:dyDescent="0.2">
      <c r="C834" s="5"/>
    </row>
    <row r="835" spans="3:3" x14ac:dyDescent="0.2">
      <c r="C835" s="5"/>
    </row>
    <row r="836" spans="3:3" x14ac:dyDescent="0.2">
      <c r="C836" s="5"/>
    </row>
    <row r="837" spans="3:3" x14ac:dyDescent="0.2">
      <c r="C837" s="5"/>
    </row>
    <row r="838" spans="3:3" x14ac:dyDescent="0.2">
      <c r="C838" s="5"/>
    </row>
    <row r="839" spans="3:3" x14ac:dyDescent="0.2">
      <c r="C839" s="5"/>
    </row>
    <row r="840" spans="3:3" x14ac:dyDescent="0.2">
      <c r="C840" s="5"/>
    </row>
    <row r="841" spans="3:3" x14ac:dyDescent="0.2">
      <c r="C841" s="5"/>
    </row>
    <row r="842" spans="3:3" x14ac:dyDescent="0.2">
      <c r="C842" s="5"/>
    </row>
    <row r="843" spans="3:3" x14ac:dyDescent="0.2">
      <c r="C843" s="5"/>
    </row>
    <row r="844" spans="3:3" x14ac:dyDescent="0.2">
      <c r="C844" s="5"/>
    </row>
    <row r="845" spans="3:3" x14ac:dyDescent="0.2">
      <c r="C845" s="5"/>
    </row>
    <row r="846" spans="3:3" x14ac:dyDescent="0.2">
      <c r="C846" s="5"/>
    </row>
    <row r="847" spans="3:3" x14ac:dyDescent="0.2">
      <c r="C847" s="5"/>
    </row>
    <row r="848" spans="3:3" x14ac:dyDescent="0.2">
      <c r="C848" s="5"/>
    </row>
    <row r="849" spans="3:3" x14ac:dyDescent="0.2">
      <c r="C849" s="5"/>
    </row>
    <row r="850" spans="3:3" x14ac:dyDescent="0.2">
      <c r="C850" s="5"/>
    </row>
    <row r="851" spans="3:3" x14ac:dyDescent="0.2">
      <c r="C851" s="5"/>
    </row>
    <row r="852" spans="3:3" x14ac:dyDescent="0.2">
      <c r="C852" s="5"/>
    </row>
    <row r="853" spans="3:3" x14ac:dyDescent="0.2">
      <c r="C853" s="5"/>
    </row>
    <row r="854" spans="3:3" x14ac:dyDescent="0.2">
      <c r="C854" s="5"/>
    </row>
    <row r="855" spans="3:3" x14ac:dyDescent="0.2">
      <c r="C855" s="5"/>
    </row>
    <row r="856" spans="3:3" x14ac:dyDescent="0.2">
      <c r="C856" s="5"/>
    </row>
    <row r="857" spans="3:3" x14ac:dyDescent="0.2">
      <c r="C857" s="5"/>
    </row>
    <row r="858" spans="3:3" x14ac:dyDescent="0.2">
      <c r="C858" s="5"/>
    </row>
    <row r="859" spans="3:3" x14ac:dyDescent="0.2">
      <c r="C859" s="5"/>
    </row>
    <row r="860" spans="3:3" x14ac:dyDescent="0.2">
      <c r="C860" s="5"/>
    </row>
    <row r="861" spans="3:3" x14ac:dyDescent="0.2">
      <c r="C861" s="5"/>
    </row>
    <row r="862" spans="3:3" x14ac:dyDescent="0.2">
      <c r="C862" s="5"/>
    </row>
    <row r="863" spans="3:3" x14ac:dyDescent="0.2">
      <c r="C863" s="5"/>
    </row>
    <row r="864" spans="3:3" x14ac:dyDescent="0.2">
      <c r="C864" s="5"/>
    </row>
    <row r="865" spans="3:3" x14ac:dyDescent="0.2">
      <c r="C865" s="5"/>
    </row>
    <row r="866" spans="3:3" x14ac:dyDescent="0.2">
      <c r="C866" s="5"/>
    </row>
    <row r="867" spans="3:3" x14ac:dyDescent="0.2">
      <c r="C867" s="5"/>
    </row>
    <row r="868" spans="3:3" x14ac:dyDescent="0.2">
      <c r="C868" s="5"/>
    </row>
    <row r="869" spans="3:3" x14ac:dyDescent="0.2">
      <c r="C869" s="5"/>
    </row>
    <row r="870" spans="3:3" x14ac:dyDescent="0.2">
      <c r="C870" s="5"/>
    </row>
    <row r="871" spans="3:3" x14ac:dyDescent="0.2">
      <c r="C871" s="5"/>
    </row>
    <row r="872" spans="3:3" x14ac:dyDescent="0.2">
      <c r="C872" s="5"/>
    </row>
    <row r="873" spans="3:3" x14ac:dyDescent="0.2">
      <c r="C873" s="5"/>
    </row>
    <row r="874" spans="3:3" x14ac:dyDescent="0.2">
      <c r="C874" s="5"/>
    </row>
    <row r="875" spans="3:3" x14ac:dyDescent="0.2">
      <c r="C875" s="5"/>
    </row>
    <row r="876" spans="3:3" x14ac:dyDescent="0.2">
      <c r="C876" s="5"/>
    </row>
    <row r="877" spans="3:3" x14ac:dyDescent="0.2">
      <c r="C877" s="5"/>
    </row>
    <row r="878" spans="3:3" x14ac:dyDescent="0.2">
      <c r="C878" s="5"/>
    </row>
    <row r="879" spans="3:3" x14ac:dyDescent="0.2">
      <c r="C879" s="5"/>
    </row>
    <row r="880" spans="3:3" x14ac:dyDescent="0.2">
      <c r="C880" s="5"/>
    </row>
    <row r="881" spans="3:3" x14ac:dyDescent="0.2">
      <c r="C881" s="5"/>
    </row>
    <row r="882" spans="3:3" x14ac:dyDescent="0.2">
      <c r="C882" s="5"/>
    </row>
    <row r="883" spans="3:3" x14ac:dyDescent="0.2">
      <c r="C883" s="5"/>
    </row>
    <row r="884" spans="3:3" x14ac:dyDescent="0.2">
      <c r="C884" s="5"/>
    </row>
    <row r="885" spans="3:3" x14ac:dyDescent="0.2">
      <c r="C885" s="5"/>
    </row>
    <row r="886" spans="3:3" x14ac:dyDescent="0.2">
      <c r="C886" s="5"/>
    </row>
    <row r="887" spans="3:3" x14ac:dyDescent="0.2">
      <c r="C887" s="5"/>
    </row>
    <row r="888" spans="3:3" x14ac:dyDescent="0.2">
      <c r="C888" s="5"/>
    </row>
    <row r="889" spans="3:3" x14ac:dyDescent="0.2">
      <c r="C889" s="5"/>
    </row>
    <row r="890" spans="3:3" x14ac:dyDescent="0.2">
      <c r="C890" s="5"/>
    </row>
    <row r="891" spans="3:3" x14ac:dyDescent="0.2">
      <c r="C891" s="5"/>
    </row>
    <row r="892" spans="3:3" x14ac:dyDescent="0.2">
      <c r="C892" s="5"/>
    </row>
    <row r="893" spans="3:3" x14ac:dyDescent="0.2">
      <c r="C893" s="5"/>
    </row>
    <row r="894" spans="3:3" x14ac:dyDescent="0.2">
      <c r="C894" s="5"/>
    </row>
    <row r="895" spans="3:3" x14ac:dyDescent="0.2">
      <c r="C895" s="5"/>
    </row>
    <row r="896" spans="3:3" x14ac:dyDescent="0.2">
      <c r="C896" s="5"/>
    </row>
    <row r="897" spans="3:3" x14ac:dyDescent="0.2">
      <c r="C897" s="5"/>
    </row>
    <row r="898" spans="3:3" x14ac:dyDescent="0.2">
      <c r="C898" s="5"/>
    </row>
    <row r="899" spans="3:3" x14ac:dyDescent="0.2">
      <c r="C899" s="5"/>
    </row>
    <row r="900" spans="3:3" x14ac:dyDescent="0.2">
      <c r="C900" s="5"/>
    </row>
    <row r="901" spans="3:3" x14ac:dyDescent="0.2">
      <c r="C901" s="5"/>
    </row>
    <row r="902" spans="3:3" x14ac:dyDescent="0.2">
      <c r="C902" s="5"/>
    </row>
    <row r="903" spans="3:3" x14ac:dyDescent="0.2">
      <c r="C903" s="5"/>
    </row>
    <row r="904" spans="3:3" x14ac:dyDescent="0.2">
      <c r="C904" s="5"/>
    </row>
    <row r="905" spans="3:3" x14ac:dyDescent="0.2">
      <c r="C905" s="5"/>
    </row>
    <row r="906" spans="3:3" x14ac:dyDescent="0.2">
      <c r="C906" s="5"/>
    </row>
    <row r="907" spans="3:3" x14ac:dyDescent="0.2">
      <c r="C907" s="5"/>
    </row>
    <row r="908" spans="3:3" x14ac:dyDescent="0.2">
      <c r="C908" s="5"/>
    </row>
    <row r="909" spans="3:3" x14ac:dyDescent="0.2">
      <c r="C909" s="5"/>
    </row>
    <row r="910" spans="3:3" x14ac:dyDescent="0.2">
      <c r="C910" s="5"/>
    </row>
    <row r="911" spans="3:3" x14ac:dyDescent="0.2">
      <c r="C911" s="5"/>
    </row>
    <row r="912" spans="3:3" x14ac:dyDescent="0.2">
      <c r="C912" s="5"/>
    </row>
    <row r="913" spans="3:3" x14ac:dyDescent="0.2">
      <c r="C913" s="5"/>
    </row>
    <row r="914" spans="3:3" x14ac:dyDescent="0.2">
      <c r="C914" s="5"/>
    </row>
    <row r="915" spans="3:3" x14ac:dyDescent="0.2">
      <c r="C915" s="5"/>
    </row>
    <row r="916" spans="3:3" x14ac:dyDescent="0.2">
      <c r="C916" s="5"/>
    </row>
    <row r="917" spans="3:3" x14ac:dyDescent="0.2">
      <c r="C917" s="5"/>
    </row>
    <row r="918" spans="3:3" x14ac:dyDescent="0.2">
      <c r="C918" s="5"/>
    </row>
    <row r="919" spans="3:3" x14ac:dyDescent="0.2">
      <c r="C919" s="5"/>
    </row>
    <row r="920" spans="3:3" x14ac:dyDescent="0.2">
      <c r="C920" s="5"/>
    </row>
    <row r="921" spans="3:3" x14ac:dyDescent="0.2">
      <c r="C921" s="5"/>
    </row>
    <row r="922" spans="3:3" x14ac:dyDescent="0.2">
      <c r="C922" s="5"/>
    </row>
    <row r="923" spans="3:3" x14ac:dyDescent="0.2">
      <c r="C923" s="5"/>
    </row>
    <row r="924" spans="3:3" x14ac:dyDescent="0.2">
      <c r="C924" s="5"/>
    </row>
    <row r="925" spans="3:3" x14ac:dyDescent="0.2">
      <c r="C925" s="5"/>
    </row>
    <row r="926" spans="3:3" x14ac:dyDescent="0.2">
      <c r="C926" s="5"/>
    </row>
    <row r="927" spans="3:3" x14ac:dyDescent="0.2">
      <c r="C927" s="5"/>
    </row>
    <row r="928" spans="3:3" x14ac:dyDescent="0.2">
      <c r="C928" s="5"/>
    </row>
    <row r="929" spans="3:3" x14ac:dyDescent="0.2">
      <c r="C929" s="5"/>
    </row>
    <row r="930" spans="3:3" x14ac:dyDescent="0.2">
      <c r="C930" s="5"/>
    </row>
    <row r="931" spans="3:3" x14ac:dyDescent="0.2">
      <c r="C931" s="5"/>
    </row>
    <row r="932" spans="3:3" x14ac:dyDescent="0.2">
      <c r="C932" s="5"/>
    </row>
    <row r="933" spans="3:3" x14ac:dyDescent="0.2">
      <c r="C933" s="5"/>
    </row>
    <row r="934" spans="3:3" x14ac:dyDescent="0.2">
      <c r="C934" s="5"/>
    </row>
    <row r="935" spans="3:3" x14ac:dyDescent="0.2">
      <c r="C935" s="5"/>
    </row>
    <row r="936" spans="3:3" x14ac:dyDescent="0.2">
      <c r="C936" s="5"/>
    </row>
    <row r="937" spans="3:3" x14ac:dyDescent="0.2">
      <c r="C937" s="5"/>
    </row>
    <row r="938" spans="3:3" x14ac:dyDescent="0.2">
      <c r="C938" s="5"/>
    </row>
    <row r="939" spans="3:3" x14ac:dyDescent="0.2">
      <c r="C939" s="5"/>
    </row>
    <row r="940" spans="3:3" x14ac:dyDescent="0.2">
      <c r="C940" s="5"/>
    </row>
    <row r="941" spans="3:3" x14ac:dyDescent="0.2">
      <c r="C941" s="5"/>
    </row>
    <row r="942" spans="3:3" x14ac:dyDescent="0.2">
      <c r="C942" s="5"/>
    </row>
    <row r="943" spans="3:3" x14ac:dyDescent="0.2">
      <c r="C943" s="5"/>
    </row>
    <row r="944" spans="3:3" x14ac:dyDescent="0.2">
      <c r="C944" s="5"/>
    </row>
    <row r="945" spans="3:3" x14ac:dyDescent="0.2">
      <c r="C945" s="5"/>
    </row>
    <row r="946" spans="3:3" x14ac:dyDescent="0.2">
      <c r="C946" s="5"/>
    </row>
    <row r="947" spans="3:3" x14ac:dyDescent="0.2">
      <c r="C947" s="5"/>
    </row>
    <row r="948" spans="3:3" x14ac:dyDescent="0.2">
      <c r="C948" s="5"/>
    </row>
    <row r="949" spans="3:3" x14ac:dyDescent="0.2">
      <c r="C949" s="5"/>
    </row>
    <row r="950" spans="3:3" x14ac:dyDescent="0.2">
      <c r="C950" s="5"/>
    </row>
    <row r="951" spans="3:3" x14ac:dyDescent="0.2">
      <c r="C951" s="5"/>
    </row>
    <row r="952" spans="3:3" x14ac:dyDescent="0.2">
      <c r="C952" s="5"/>
    </row>
    <row r="953" spans="3:3" x14ac:dyDescent="0.2">
      <c r="C953" s="5"/>
    </row>
    <row r="954" spans="3:3" x14ac:dyDescent="0.2">
      <c r="C954" s="5"/>
    </row>
    <row r="955" spans="3:3" x14ac:dyDescent="0.2">
      <c r="C955" s="5"/>
    </row>
    <row r="956" spans="3:3" x14ac:dyDescent="0.2">
      <c r="C956" s="5"/>
    </row>
    <row r="957" spans="3:3" x14ac:dyDescent="0.2">
      <c r="C957" s="5"/>
    </row>
    <row r="958" spans="3:3" x14ac:dyDescent="0.2">
      <c r="C958" s="5"/>
    </row>
    <row r="959" spans="3:3" x14ac:dyDescent="0.2">
      <c r="C959" s="5"/>
    </row>
    <row r="960" spans="3:3" x14ac:dyDescent="0.2">
      <c r="C960" s="5"/>
    </row>
    <row r="961" spans="3:3" x14ac:dyDescent="0.2">
      <c r="C961" s="5"/>
    </row>
    <row r="962" spans="3:3" x14ac:dyDescent="0.2">
      <c r="C962" s="5"/>
    </row>
    <row r="963" spans="3:3" x14ac:dyDescent="0.2">
      <c r="C963" s="5"/>
    </row>
    <row r="964" spans="3:3" x14ac:dyDescent="0.2">
      <c r="C964" s="5"/>
    </row>
    <row r="965" spans="3:3" x14ac:dyDescent="0.2">
      <c r="C965" s="5"/>
    </row>
    <row r="966" spans="3:3" x14ac:dyDescent="0.2">
      <c r="C966" s="5"/>
    </row>
    <row r="967" spans="3:3" x14ac:dyDescent="0.2">
      <c r="C967" s="5"/>
    </row>
    <row r="968" spans="3:3" x14ac:dyDescent="0.2">
      <c r="C968" s="5"/>
    </row>
    <row r="969" spans="3:3" x14ac:dyDescent="0.2">
      <c r="C969" s="5"/>
    </row>
    <row r="970" spans="3:3" x14ac:dyDescent="0.2">
      <c r="C970" s="5"/>
    </row>
    <row r="971" spans="3:3" x14ac:dyDescent="0.2">
      <c r="C971" s="5"/>
    </row>
    <row r="972" spans="3:3" x14ac:dyDescent="0.2">
      <c r="C972" s="5"/>
    </row>
    <row r="973" spans="3:3" x14ac:dyDescent="0.2">
      <c r="C973" s="5"/>
    </row>
    <row r="974" spans="3:3" x14ac:dyDescent="0.2">
      <c r="C974" s="5"/>
    </row>
    <row r="975" spans="3:3" x14ac:dyDescent="0.2">
      <c r="C975" s="5"/>
    </row>
    <row r="976" spans="3:3" x14ac:dyDescent="0.2">
      <c r="C976" s="5"/>
    </row>
    <row r="977" spans="3:3" x14ac:dyDescent="0.2">
      <c r="C977" s="5"/>
    </row>
    <row r="978" spans="3:3" x14ac:dyDescent="0.2">
      <c r="C978" s="5"/>
    </row>
    <row r="979" spans="3:3" x14ac:dyDescent="0.2">
      <c r="C979" s="5"/>
    </row>
    <row r="980" spans="3:3" x14ac:dyDescent="0.2">
      <c r="C980" s="5"/>
    </row>
    <row r="981" spans="3:3" x14ac:dyDescent="0.2">
      <c r="C981" s="5"/>
    </row>
    <row r="982" spans="3:3" x14ac:dyDescent="0.2">
      <c r="C982" s="5"/>
    </row>
    <row r="983" spans="3:3" x14ac:dyDescent="0.2">
      <c r="C983" s="5"/>
    </row>
    <row r="984" spans="3:3" x14ac:dyDescent="0.2">
      <c r="C984" s="5"/>
    </row>
    <row r="985" spans="3:3" x14ac:dyDescent="0.2">
      <c r="C985" s="5"/>
    </row>
    <row r="986" spans="3:3" x14ac:dyDescent="0.2">
      <c r="C986" s="5"/>
    </row>
    <row r="987" spans="3:3" x14ac:dyDescent="0.2">
      <c r="C987" s="5"/>
    </row>
    <row r="988" spans="3:3" x14ac:dyDescent="0.2">
      <c r="C988" s="5"/>
    </row>
    <row r="989" spans="3:3" x14ac:dyDescent="0.2">
      <c r="C989" s="5"/>
    </row>
    <row r="990" spans="3:3" x14ac:dyDescent="0.2">
      <c r="C990" s="5"/>
    </row>
    <row r="991" spans="3:3" x14ac:dyDescent="0.2">
      <c r="C991" s="5"/>
    </row>
    <row r="992" spans="3:3" x14ac:dyDescent="0.2">
      <c r="C992" s="5"/>
    </row>
    <row r="993" spans="3:3" x14ac:dyDescent="0.2">
      <c r="C993" s="5"/>
    </row>
    <row r="994" spans="3:3" x14ac:dyDescent="0.2">
      <c r="C994" s="5"/>
    </row>
    <row r="995" spans="3:3" x14ac:dyDescent="0.2">
      <c r="C995" s="5"/>
    </row>
    <row r="996" spans="3:3" x14ac:dyDescent="0.2">
      <c r="C996" s="5"/>
    </row>
    <row r="997" spans="3:3" x14ac:dyDescent="0.2">
      <c r="C997" s="5"/>
    </row>
    <row r="998" spans="3:3" x14ac:dyDescent="0.2">
      <c r="C998" s="5"/>
    </row>
    <row r="999" spans="3:3" x14ac:dyDescent="0.2">
      <c r="C999" s="5"/>
    </row>
    <row r="1000" spans="3:3" x14ac:dyDescent="0.2">
      <c r="C1000" s="5"/>
    </row>
    <row r="1001" spans="3:3" x14ac:dyDescent="0.2">
      <c r="C1001" s="5"/>
    </row>
    <row r="1002" spans="3:3" x14ac:dyDescent="0.2">
      <c r="C1002" s="5"/>
    </row>
    <row r="1003" spans="3:3" x14ac:dyDescent="0.2">
      <c r="C1003" s="5"/>
    </row>
    <row r="1004" spans="3:3" x14ac:dyDescent="0.2">
      <c r="C1004" s="5"/>
    </row>
    <row r="1005" spans="3:3" x14ac:dyDescent="0.2">
      <c r="C1005" s="5"/>
    </row>
    <row r="1006" spans="3:3" x14ac:dyDescent="0.2">
      <c r="C1006" s="5"/>
    </row>
    <row r="1007" spans="3:3" x14ac:dyDescent="0.2">
      <c r="C1007" s="5"/>
    </row>
    <row r="1008" spans="3:3" x14ac:dyDescent="0.2">
      <c r="C1008" s="5"/>
    </row>
    <row r="1009" spans="3:3" x14ac:dyDescent="0.2">
      <c r="C1009" s="5"/>
    </row>
    <row r="1010" spans="3:3" x14ac:dyDescent="0.2">
      <c r="C1010" s="5"/>
    </row>
    <row r="1011" spans="3:3" x14ac:dyDescent="0.2">
      <c r="C1011" s="5"/>
    </row>
    <row r="1012" spans="3:3" x14ac:dyDescent="0.2">
      <c r="C1012" s="5"/>
    </row>
    <row r="1013" spans="3:3" x14ac:dyDescent="0.2">
      <c r="C1013" s="5"/>
    </row>
    <row r="1014" spans="3:3" x14ac:dyDescent="0.2">
      <c r="C1014" s="5"/>
    </row>
    <row r="1015" spans="3:3" x14ac:dyDescent="0.2">
      <c r="C1015" s="5"/>
    </row>
    <row r="1016" spans="3:3" x14ac:dyDescent="0.2">
      <c r="C1016" s="5"/>
    </row>
    <row r="1017" spans="3:3" x14ac:dyDescent="0.2">
      <c r="C1017" s="5"/>
    </row>
    <row r="1018" spans="3:3" x14ac:dyDescent="0.2">
      <c r="C1018" s="5"/>
    </row>
    <row r="1019" spans="3:3" x14ac:dyDescent="0.2">
      <c r="C1019" s="5"/>
    </row>
    <row r="1020" spans="3:3" x14ac:dyDescent="0.2">
      <c r="C1020" s="5"/>
    </row>
    <row r="1021" spans="3:3" x14ac:dyDescent="0.2">
      <c r="C1021" s="5"/>
    </row>
    <row r="1022" spans="3:3" x14ac:dyDescent="0.2">
      <c r="C1022" s="5"/>
    </row>
    <row r="1023" spans="3:3" x14ac:dyDescent="0.2">
      <c r="C1023" s="5"/>
    </row>
    <row r="1024" spans="3:3" x14ac:dyDescent="0.2">
      <c r="C1024" s="5"/>
    </row>
    <row r="1025" spans="3:3" x14ac:dyDescent="0.2">
      <c r="C1025" s="5"/>
    </row>
    <row r="1026" spans="3:3" x14ac:dyDescent="0.2">
      <c r="C1026" s="5"/>
    </row>
    <row r="1027" spans="3:3" x14ac:dyDescent="0.2">
      <c r="C1027" s="5"/>
    </row>
    <row r="1028" spans="3:3" x14ac:dyDescent="0.2">
      <c r="C1028" s="5"/>
    </row>
    <row r="1029" spans="3:3" x14ac:dyDescent="0.2">
      <c r="C1029" s="5"/>
    </row>
    <row r="1030" spans="3:3" x14ac:dyDescent="0.2">
      <c r="C1030" s="5"/>
    </row>
  </sheetData>
  <phoneticPr fontId="11" type="noConversion"/>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'Datos del plan'!$F$1:$F$3</xm:f>
          </x14:formula1>
          <xm:sqref>P2:P49</xm:sqref>
        </x14:dataValidation>
        <x14:dataValidation type="list" allowBlank="1" showErrorMessage="1" xr:uid="{00000000-0002-0000-0100-000001000000}">
          <x14:formula1>
            <xm:f>'Datos del plan'!$C$1:$C$3</xm:f>
          </x14:formula1>
          <xm:sqref>Q2:Q49</xm:sqref>
        </x14:dataValidation>
        <x14:dataValidation type="list" allowBlank="1" showErrorMessage="1" xr:uid="{00000000-0002-0000-0100-000002000000}">
          <x14:formula1>
            <xm:f>'Datos del plan'!$B$1:$B$5</xm:f>
          </x14:formula1>
          <xm:sqref>M2:M49</xm:sqref>
        </x14:dataValidation>
        <x14:dataValidation type="list" allowBlank="1" showErrorMessage="1" xr:uid="{00000000-0002-0000-0100-000003000000}">
          <x14:formula1>
            <xm:f>'Datos del plan'!$E$1:$E$5</xm:f>
          </x14:formula1>
          <xm:sqref>C2:C49</xm:sqref>
        </x14:dataValidation>
        <x14:dataValidation type="list" allowBlank="1" showErrorMessage="1" xr:uid="{00000000-0002-0000-0100-000004000000}">
          <x14:formula1>
            <xm:f>'Datos del plan'!$D$1:$D$2</xm:f>
          </x14:formula1>
          <xm:sqref>N2:N49</xm:sqref>
        </x14:dataValidation>
        <x14:dataValidation type="list" allowBlank="1" showErrorMessage="1" xr:uid="{00000000-0002-0000-0100-000005000000}">
          <x14:formula1>
            <xm:f>'Datos del plan'!$A$1:$A$8</xm:f>
          </x14:formula1>
          <xm:sqref>F2:F49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F14" sqref="F14"/>
    </sheetView>
  </sheetViews>
  <sheetFormatPr baseColWidth="10" defaultColWidth="14.5" defaultRowHeight="15" customHeight="1" x14ac:dyDescent="0.2"/>
  <cols>
    <col min="1" max="2" width="11.5" customWidth="1"/>
    <col min="3" max="3" width="16.1640625" customWidth="1"/>
    <col min="4" max="4" width="11.5" customWidth="1"/>
    <col min="5" max="5" width="4.83203125" customWidth="1"/>
    <col min="6" max="6" width="17" customWidth="1"/>
    <col min="7" max="11" width="10.6640625" customWidth="1"/>
    <col min="12" max="12" width="5.5" customWidth="1"/>
    <col min="13" max="26" width="10.6640625" customWidth="1"/>
  </cols>
  <sheetData>
    <row r="1" spans="1:26" ht="14.25" customHeight="1" x14ac:dyDescent="0.2">
      <c r="A1" s="9"/>
      <c r="B1" s="9"/>
      <c r="C1" s="9"/>
      <c r="D1" s="9"/>
      <c r="E1" s="9"/>
      <c r="F1" s="9"/>
      <c r="G1" s="9"/>
      <c r="H1" s="9"/>
      <c r="I1" s="9"/>
      <c r="J1" s="9"/>
      <c r="K1" s="9"/>
      <c r="L1" s="9"/>
      <c r="M1" s="9"/>
      <c r="N1" s="9"/>
      <c r="O1" s="9"/>
      <c r="P1" s="9"/>
      <c r="Q1" s="9"/>
      <c r="R1" s="9"/>
      <c r="S1" s="9"/>
      <c r="T1" s="9"/>
      <c r="U1" s="9"/>
      <c r="V1" s="9"/>
      <c r="W1" s="9"/>
      <c r="X1" s="9"/>
      <c r="Y1" s="9"/>
      <c r="Z1" s="9"/>
    </row>
    <row r="2" spans="1:26" ht="14.25" customHeight="1" x14ac:dyDescent="0.2">
      <c r="A2" s="9"/>
      <c r="B2" s="20"/>
      <c r="C2" s="20"/>
      <c r="D2" s="20"/>
      <c r="E2" s="9"/>
      <c r="F2" s="9"/>
      <c r="G2" s="9"/>
      <c r="H2" s="9"/>
      <c r="I2" s="9"/>
      <c r="J2" s="9"/>
      <c r="K2" s="9"/>
      <c r="L2" s="9"/>
      <c r="M2" s="9"/>
      <c r="N2" s="9"/>
      <c r="O2" s="9"/>
      <c r="P2" s="9"/>
      <c r="Q2" s="9"/>
      <c r="R2" s="9"/>
      <c r="S2" s="9"/>
      <c r="T2" s="9"/>
      <c r="U2" s="9"/>
      <c r="V2" s="9"/>
      <c r="W2" s="9"/>
      <c r="X2" s="9"/>
      <c r="Y2" s="9"/>
      <c r="Z2" s="9"/>
    </row>
    <row r="3" spans="1:26" ht="14.25" customHeight="1" x14ac:dyDescent="0.2">
      <c r="A3" s="9"/>
      <c r="B3" s="20"/>
      <c r="C3" s="20"/>
      <c r="D3" s="20"/>
      <c r="E3" s="9"/>
      <c r="F3" s="9"/>
      <c r="G3" s="9"/>
      <c r="H3" s="9"/>
      <c r="I3" s="9"/>
      <c r="J3" s="9"/>
      <c r="K3" s="9"/>
      <c r="L3" s="9"/>
      <c r="M3" s="9"/>
      <c r="N3" s="9"/>
      <c r="O3" s="9"/>
      <c r="P3" s="9"/>
      <c r="Q3" s="9"/>
      <c r="R3" s="9"/>
      <c r="S3" s="9"/>
      <c r="T3" s="9"/>
      <c r="U3" s="9"/>
      <c r="V3" s="9"/>
      <c r="W3" s="9"/>
      <c r="X3" s="9"/>
      <c r="Y3" s="9"/>
      <c r="Z3" s="9"/>
    </row>
    <row r="4" spans="1:26" ht="14.25" customHeight="1" x14ac:dyDescent="0.2">
      <c r="A4" s="9"/>
      <c r="B4" s="20"/>
      <c r="C4" s="20"/>
      <c r="D4" s="20"/>
      <c r="E4" s="9"/>
      <c r="F4" s="9"/>
      <c r="G4" s="9"/>
      <c r="H4" s="9"/>
      <c r="I4" s="9"/>
      <c r="J4" s="9"/>
      <c r="K4" s="9"/>
      <c r="L4" s="9"/>
      <c r="M4" s="9"/>
      <c r="N4" s="9"/>
      <c r="O4" s="9"/>
      <c r="P4" s="9"/>
      <c r="Q4" s="9"/>
      <c r="R4" s="9"/>
      <c r="S4" s="9"/>
      <c r="T4" s="9"/>
      <c r="U4" s="9"/>
      <c r="V4" s="9"/>
      <c r="W4" s="9"/>
      <c r="X4" s="9"/>
      <c r="Y4" s="9"/>
      <c r="Z4" s="9"/>
    </row>
    <row r="5" spans="1:26" ht="14.25" customHeight="1" x14ac:dyDescent="0.2">
      <c r="A5" s="9"/>
      <c r="B5" s="9"/>
      <c r="C5" s="9"/>
      <c r="D5" s="9"/>
      <c r="E5" s="9"/>
      <c r="F5" s="9"/>
      <c r="G5" s="9"/>
      <c r="H5" s="9"/>
      <c r="I5" s="9"/>
      <c r="J5" s="9"/>
      <c r="K5" s="9"/>
      <c r="L5" s="9"/>
      <c r="M5" s="9"/>
      <c r="N5" s="9"/>
      <c r="O5" s="9"/>
      <c r="P5" s="21"/>
      <c r="Q5" s="9"/>
      <c r="R5" s="9"/>
      <c r="S5" s="9"/>
      <c r="T5" s="9"/>
      <c r="U5" s="9"/>
      <c r="V5" s="9"/>
      <c r="W5" s="9"/>
      <c r="X5" s="9"/>
      <c r="Y5" s="9"/>
      <c r="Z5" s="9"/>
    </row>
    <row r="6" spans="1:26" ht="14.25" customHeight="1" x14ac:dyDescent="0.2">
      <c r="A6" s="9"/>
      <c r="B6" s="74" t="s">
        <v>57</v>
      </c>
      <c r="C6" s="40" t="s">
        <v>2</v>
      </c>
      <c r="D6" s="41">
        <f>COUNTIF('Identificación Casos'!M2:M999,Control!C6)</f>
        <v>17</v>
      </c>
      <c r="E6" s="9"/>
      <c r="F6" s="9"/>
      <c r="G6" s="9"/>
      <c r="H6" s="9"/>
      <c r="I6" s="9"/>
      <c r="J6" s="9"/>
      <c r="K6" s="9"/>
      <c r="L6" s="9"/>
      <c r="M6" s="9"/>
      <c r="N6" s="9"/>
      <c r="O6" s="9"/>
      <c r="P6" s="21"/>
      <c r="Q6" s="9"/>
      <c r="R6" s="9"/>
      <c r="S6" s="9"/>
      <c r="T6" s="9"/>
      <c r="U6" s="9"/>
      <c r="V6" s="9"/>
      <c r="W6" s="9"/>
      <c r="X6" s="9"/>
      <c r="Y6" s="9"/>
      <c r="Z6" s="9"/>
    </row>
    <row r="7" spans="1:26" ht="14.25" customHeight="1" x14ac:dyDescent="0.2">
      <c r="A7" s="9"/>
      <c r="B7" s="75"/>
      <c r="C7" s="40" t="s">
        <v>17</v>
      </c>
      <c r="D7" s="41">
        <f>COUNTIF('Identificación Casos'!M2:M12,Control!C7)</f>
        <v>0</v>
      </c>
      <c r="E7" s="9"/>
      <c r="F7" s="9"/>
      <c r="G7" s="9"/>
      <c r="H7" s="9"/>
      <c r="I7" s="9"/>
      <c r="J7" s="9"/>
      <c r="K7" s="9"/>
      <c r="L7" s="9"/>
      <c r="M7" s="9"/>
      <c r="N7" s="9"/>
      <c r="O7" s="9"/>
      <c r="P7" s="9"/>
      <c r="Q7" s="9"/>
      <c r="R7" s="9"/>
      <c r="S7" s="9"/>
      <c r="T7" s="9"/>
      <c r="U7" s="9"/>
      <c r="V7" s="9"/>
      <c r="W7" s="9"/>
      <c r="X7" s="9"/>
      <c r="Y7" s="9"/>
      <c r="Z7" s="9"/>
    </row>
    <row r="8" spans="1:26" ht="14.25" customHeight="1" x14ac:dyDescent="0.2">
      <c r="A8" s="9"/>
      <c r="B8" s="75"/>
      <c r="C8" s="42" t="s">
        <v>23</v>
      </c>
      <c r="D8" s="43">
        <f>COUNTIF('Identificación Casos'!$M$2:M999,C8)</f>
        <v>29</v>
      </c>
      <c r="E8" s="9"/>
      <c r="F8" s="9"/>
      <c r="G8" s="9"/>
      <c r="H8" s="9"/>
      <c r="I8" s="9"/>
      <c r="J8" s="9"/>
      <c r="K8" s="9"/>
      <c r="L8" s="9"/>
      <c r="M8" s="9"/>
      <c r="N8" s="9"/>
      <c r="O8" s="9"/>
      <c r="P8" s="9"/>
      <c r="Q8" s="9"/>
      <c r="R8" s="9"/>
      <c r="S8" s="9"/>
      <c r="T8" s="9"/>
      <c r="U8" s="9"/>
      <c r="V8" s="9"/>
      <c r="W8" s="9"/>
      <c r="X8" s="9"/>
      <c r="Y8" s="9"/>
      <c r="Z8" s="9"/>
    </row>
    <row r="9" spans="1:26" ht="14.25" customHeight="1" x14ac:dyDescent="0.2">
      <c r="A9" s="9"/>
      <c r="B9" s="75"/>
      <c r="C9" s="40" t="s">
        <v>29</v>
      </c>
      <c r="D9" s="41">
        <f>COUNTIF('Identificación Casos'!$M$2:M67,C9)</f>
        <v>0</v>
      </c>
      <c r="E9" s="9"/>
      <c r="F9" s="9"/>
      <c r="G9" s="9"/>
      <c r="H9" s="9"/>
      <c r="I9" s="9"/>
      <c r="J9" s="9"/>
      <c r="K9" s="9"/>
      <c r="L9" s="9"/>
      <c r="M9" s="9"/>
      <c r="N9" s="9"/>
      <c r="O9" s="21"/>
      <c r="P9" s="9"/>
      <c r="Q9" s="9"/>
      <c r="R9" s="9"/>
      <c r="S9" s="9"/>
      <c r="T9" s="9"/>
      <c r="U9" s="9"/>
      <c r="V9" s="9"/>
      <c r="W9" s="9"/>
      <c r="X9" s="9"/>
      <c r="Y9" s="9"/>
      <c r="Z9" s="9"/>
    </row>
    <row r="10" spans="1:26" ht="14.25" customHeight="1" x14ac:dyDescent="0.2">
      <c r="A10" s="9"/>
      <c r="B10" s="76"/>
      <c r="C10" s="40" t="s">
        <v>32</v>
      </c>
      <c r="D10" s="41">
        <f>COUNTIF('Identificación Casos'!$M$2:M68,C10)</f>
        <v>0</v>
      </c>
      <c r="E10" s="9"/>
      <c r="F10" s="9"/>
      <c r="G10" s="9"/>
      <c r="H10" s="9"/>
      <c r="I10" s="9"/>
      <c r="J10" s="9"/>
      <c r="K10" s="9"/>
      <c r="L10" s="9"/>
      <c r="M10" s="9"/>
      <c r="N10" s="9"/>
      <c r="O10" s="9"/>
      <c r="P10" s="9"/>
      <c r="Q10" s="9"/>
      <c r="R10" s="9"/>
      <c r="S10" s="9"/>
      <c r="T10" s="9"/>
      <c r="U10" s="9"/>
      <c r="V10" s="9"/>
      <c r="W10" s="9"/>
      <c r="X10" s="9"/>
      <c r="Y10" s="9"/>
      <c r="Z10" s="9"/>
    </row>
    <row r="11" spans="1:26" ht="14.25" customHeight="1" x14ac:dyDescent="0.2">
      <c r="A11" s="9"/>
      <c r="B11" s="23"/>
      <c r="C11" s="23"/>
      <c r="D11" s="24"/>
      <c r="E11" s="9"/>
      <c r="F11" s="9"/>
      <c r="G11" s="9"/>
      <c r="H11" s="9"/>
      <c r="I11" s="9"/>
      <c r="J11" s="9"/>
      <c r="K11" s="9"/>
      <c r="L11" s="9"/>
      <c r="M11" s="9"/>
      <c r="N11" s="9"/>
      <c r="O11" s="9"/>
      <c r="P11" s="9"/>
      <c r="Q11" s="9"/>
      <c r="R11" s="9"/>
      <c r="S11" s="9"/>
      <c r="T11" s="9"/>
      <c r="U11" s="9"/>
      <c r="V11" s="9"/>
      <c r="W11" s="9"/>
      <c r="X11" s="9"/>
      <c r="Y11" s="9"/>
      <c r="Z11" s="9"/>
    </row>
    <row r="12" spans="1:26" ht="14.25" customHeight="1" x14ac:dyDescent="0.2">
      <c r="A12" s="9"/>
      <c r="B12" s="23"/>
      <c r="C12" s="23"/>
      <c r="D12" s="24"/>
      <c r="E12" s="9"/>
      <c r="F12" s="9"/>
      <c r="G12" s="9"/>
      <c r="H12" s="9"/>
      <c r="I12" s="9"/>
      <c r="J12" s="9"/>
      <c r="K12" s="9"/>
      <c r="L12" s="9"/>
      <c r="M12" s="9"/>
      <c r="N12" s="9"/>
      <c r="O12" s="9"/>
      <c r="P12" s="9"/>
      <c r="Q12" s="9"/>
      <c r="R12" s="9"/>
      <c r="S12" s="9"/>
      <c r="T12" s="9"/>
      <c r="U12" s="9"/>
      <c r="V12" s="9"/>
      <c r="W12" s="9"/>
      <c r="X12" s="9"/>
      <c r="Y12" s="9"/>
      <c r="Z12" s="9"/>
    </row>
    <row r="13" spans="1:26" ht="14.25" customHeight="1" x14ac:dyDescent="0.2">
      <c r="A13" s="9"/>
      <c r="B13" s="77" t="s">
        <v>58</v>
      </c>
      <c r="C13" s="78"/>
      <c r="D13" s="22">
        <f>COUNTIF('Identificación Casos'!A2:A999,"*")</f>
        <v>46</v>
      </c>
      <c r="E13" s="9"/>
      <c r="F13" s="9"/>
      <c r="G13" s="9"/>
      <c r="H13" s="9"/>
      <c r="I13" s="9"/>
      <c r="J13" s="9"/>
      <c r="K13" s="9"/>
      <c r="L13" s="9"/>
      <c r="M13" s="9"/>
      <c r="N13" s="9"/>
      <c r="O13" s="9"/>
      <c r="P13" s="9"/>
      <c r="Q13" s="9"/>
      <c r="R13" s="9"/>
      <c r="S13" s="9"/>
      <c r="T13" s="9"/>
      <c r="U13" s="9"/>
      <c r="V13" s="9"/>
      <c r="W13" s="9"/>
      <c r="X13" s="9"/>
      <c r="Y13" s="9"/>
      <c r="Z13" s="9"/>
    </row>
    <row r="14" spans="1:26" ht="14.25" customHeight="1" x14ac:dyDescent="0.2">
      <c r="A14" s="9"/>
      <c r="B14" s="23"/>
      <c r="C14" s="23"/>
      <c r="D14" s="23"/>
      <c r="E14" s="9"/>
      <c r="F14" s="9"/>
      <c r="G14" s="9"/>
      <c r="H14" s="9"/>
      <c r="I14" s="9"/>
      <c r="J14" s="9"/>
      <c r="K14" s="9"/>
      <c r="L14" s="9"/>
      <c r="M14" s="9"/>
      <c r="N14" s="9"/>
      <c r="O14" s="9"/>
      <c r="P14" s="9"/>
      <c r="Q14" s="9"/>
      <c r="R14" s="9"/>
      <c r="S14" s="9"/>
      <c r="T14" s="9"/>
      <c r="U14" s="9"/>
      <c r="V14" s="9"/>
      <c r="W14" s="9"/>
      <c r="X14" s="9"/>
      <c r="Y14" s="9"/>
      <c r="Z14" s="9"/>
    </row>
    <row r="15" spans="1:26" ht="14.25" customHeight="1" x14ac:dyDescent="0.2">
      <c r="A15" s="9"/>
      <c r="B15" s="23"/>
      <c r="C15" s="23"/>
      <c r="D15" s="23"/>
      <c r="E15" s="9"/>
      <c r="F15" s="9"/>
      <c r="G15" s="9"/>
      <c r="H15" s="9"/>
      <c r="I15" s="9"/>
      <c r="J15" s="9"/>
      <c r="K15" s="9"/>
      <c r="L15" s="9"/>
      <c r="M15" s="9"/>
      <c r="N15" s="9"/>
      <c r="O15" s="9"/>
      <c r="P15" s="9"/>
      <c r="Q15" s="9"/>
      <c r="R15" s="9"/>
      <c r="S15" s="9"/>
      <c r="T15" s="9"/>
      <c r="U15" s="9"/>
      <c r="V15" s="9"/>
      <c r="W15" s="9"/>
      <c r="X15" s="9"/>
      <c r="Y15" s="9"/>
      <c r="Z15" s="9"/>
    </row>
    <row r="16" spans="1:26" ht="14.25" customHeight="1" x14ac:dyDescent="0.2">
      <c r="A16" s="9"/>
      <c r="B16" s="79" t="s">
        <v>59</v>
      </c>
      <c r="C16" s="80"/>
      <c r="D16" s="83">
        <f>SUM(D6+D7+D9+D10)/D13</f>
        <v>0.36956521739130432</v>
      </c>
      <c r="E16" s="9"/>
      <c r="F16" s="9"/>
      <c r="G16" s="9"/>
      <c r="H16" s="9"/>
      <c r="I16" s="9"/>
      <c r="J16" s="9"/>
      <c r="K16" s="9"/>
      <c r="L16" s="9"/>
      <c r="M16" s="9"/>
      <c r="N16" s="9"/>
      <c r="O16" s="9"/>
      <c r="P16" s="9"/>
      <c r="Q16" s="9"/>
      <c r="R16" s="9"/>
      <c r="S16" s="9"/>
      <c r="T16" s="9"/>
      <c r="U16" s="9"/>
      <c r="V16" s="9"/>
      <c r="W16" s="9"/>
      <c r="X16" s="9"/>
      <c r="Y16" s="9"/>
      <c r="Z16" s="9"/>
    </row>
    <row r="17" spans="1:26" ht="14.25" customHeight="1" x14ac:dyDescent="0.2">
      <c r="A17" s="9"/>
      <c r="B17" s="81"/>
      <c r="C17" s="82"/>
      <c r="D17" s="84"/>
      <c r="E17" s="9"/>
      <c r="F17" s="9"/>
      <c r="G17" s="9"/>
      <c r="H17" s="9"/>
      <c r="I17" s="9"/>
      <c r="J17" s="9"/>
      <c r="K17" s="9"/>
      <c r="L17" s="9"/>
      <c r="M17" s="9"/>
      <c r="N17" s="9"/>
      <c r="O17" s="9"/>
      <c r="P17" s="9"/>
      <c r="Q17" s="9"/>
      <c r="R17" s="9"/>
      <c r="S17" s="9"/>
      <c r="T17" s="9"/>
      <c r="U17" s="9"/>
      <c r="V17" s="9"/>
      <c r="W17" s="9"/>
      <c r="X17" s="9"/>
      <c r="Y17" s="9"/>
      <c r="Z17" s="9"/>
    </row>
    <row r="18" spans="1:26" ht="14.25" customHeight="1" x14ac:dyDescent="0.2">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4.25" customHeight="1" x14ac:dyDescent="0.2">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4.25" customHeight="1" x14ac:dyDescent="0.2">
      <c r="A20" s="9"/>
      <c r="B20" s="9"/>
      <c r="C20" s="9"/>
      <c r="D20" s="9"/>
      <c r="E20" s="9"/>
      <c r="F20" s="9"/>
      <c r="G20" s="9"/>
      <c r="H20" s="9"/>
      <c r="I20" s="9"/>
      <c r="J20" s="9"/>
      <c r="K20" s="9"/>
      <c r="L20" s="9"/>
      <c r="M20" s="85"/>
      <c r="N20" s="86"/>
      <c r="O20" s="9"/>
      <c r="P20" s="9"/>
      <c r="Q20" s="9"/>
      <c r="R20" s="9"/>
      <c r="S20" s="9"/>
      <c r="T20" s="9"/>
      <c r="U20" s="9"/>
      <c r="V20" s="9"/>
      <c r="W20" s="9"/>
      <c r="X20" s="9"/>
      <c r="Y20" s="9"/>
      <c r="Z20" s="9"/>
    </row>
    <row r="21" spans="1:26" ht="14.25" customHeight="1" x14ac:dyDescent="0.2">
      <c r="A21" s="9"/>
      <c r="B21" s="89" t="s">
        <v>60</v>
      </c>
      <c r="C21" s="90"/>
      <c r="D21" s="91"/>
      <c r="E21" s="98" t="s">
        <v>13</v>
      </c>
      <c r="F21" s="99"/>
      <c r="G21" s="25">
        <f>COUNTIF('Identificación Casos'!P2:P1032,E21)</f>
        <v>46</v>
      </c>
      <c r="H21" s="9"/>
      <c r="I21" s="9"/>
      <c r="J21" s="9"/>
      <c r="K21" s="9"/>
      <c r="L21" s="9"/>
      <c r="M21" s="87"/>
      <c r="N21" s="88"/>
      <c r="O21" s="9"/>
      <c r="P21" s="9"/>
      <c r="Q21" s="9"/>
      <c r="R21" s="9"/>
      <c r="S21" s="9"/>
      <c r="T21" s="9"/>
      <c r="U21" s="9"/>
      <c r="V21" s="9"/>
      <c r="W21" s="9"/>
      <c r="X21" s="9"/>
      <c r="Y21" s="9"/>
      <c r="Z21" s="9"/>
    </row>
    <row r="22" spans="1:26" ht="14.25" customHeight="1" x14ac:dyDescent="0.2">
      <c r="A22" s="9"/>
      <c r="B22" s="92"/>
      <c r="C22" s="93"/>
      <c r="D22" s="94"/>
      <c r="E22" s="98"/>
      <c r="F22" s="99"/>
      <c r="G22" s="25">
        <f>COUNTIF('Identificación Casos'!P3:P1033,E22)</f>
        <v>0</v>
      </c>
      <c r="H22" s="9"/>
      <c r="I22" s="9"/>
      <c r="J22" s="9"/>
      <c r="K22" s="9"/>
      <c r="L22" s="9"/>
      <c r="M22" s="9"/>
      <c r="N22" s="9"/>
      <c r="O22" s="9"/>
      <c r="P22" s="9"/>
      <c r="Q22" s="9"/>
      <c r="R22" s="9"/>
      <c r="S22" s="9"/>
      <c r="T22" s="9"/>
      <c r="U22" s="9"/>
      <c r="V22" s="9"/>
      <c r="W22" s="9"/>
      <c r="X22" s="9"/>
      <c r="Y22" s="9"/>
      <c r="Z22" s="9"/>
    </row>
    <row r="23" spans="1:26" ht="14.25" customHeight="1" x14ac:dyDescent="0.2">
      <c r="A23" s="9"/>
      <c r="B23" s="92"/>
      <c r="C23" s="93"/>
      <c r="D23" s="94"/>
      <c r="E23" s="98"/>
      <c r="F23" s="99"/>
      <c r="G23" s="25">
        <f>COUNTIF('Identificación Casos'!P4:P1034,E23)</f>
        <v>0</v>
      </c>
      <c r="H23" s="9"/>
      <c r="I23" s="9"/>
      <c r="J23" s="9"/>
      <c r="K23" s="9"/>
      <c r="L23" s="9"/>
      <c r="M23" s="9"/>
      <c r="N23" s="9"/>
      <c r="O23" s="9"/>
      <c r="P23" s="9"/>
      <c r="Q23" s="9"/>
      <c r="R23" s="9"/>
      <c r="S23" s="9"/>
      <c r="T23" s="9"/>
      <c r="U23" s="9"/>
      <c r="V23" s="9"/>
      <c r="W23" s="9"/>
      <c r="X23" s="9"/>
      <c r="Y23" s="9"/>
      <c r="Z23" s="9"/>
    </row>
    <row r="24" spans="1:26" ht="14.25" customHeight="1" x14ac:dyDescent="0.2">
      <c r="A24" s="9"/>
      <c r="B24" s="95"/>
      <c r="C24" s="96"/>
      <c r="D24" s="97"/>
      <c r="E24" s="98"/>
      <c r="F24" s="99"/>
      <c r="G24" s="26"/>
      <c r="H24" s="9"/>
      <c r="I24" s="9"/>
      <c r="J24" s="9"/>
      <c r="K24" s="9"/>
      <c r="L24" s="9"/>
      <c r="M24" s="9"/>
      <c r="N24" s="9"/>
      <c r="O24" s="9"/>
      <c r="P24" s="9"/>
      <c r="Q24" s="9"/>
      <c r="R24" s="9"/>
      <c r="S24" s="9"/>
      <c r="T24" s="9"/>
      <c r="U24" s="9"/>
      <c r="V24" s="9"/>
      <c r="W24" s="9"/>
      <c r="X24" s="9"/>
      <c r="Y24" s="9"/>
      <c r="Z24" s="9"/>
    </row>
    <row r="25" spans="1:26" ht="14.25" customHeight="1" x14ac:dyDescent="0.2">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4.25" customHeight="1" x14ac:dyDescent="0.2">
      <c r="A26" s="9"/>
      <c r="B26" s="9"/>
      <c r="C26" s="9"/>
      <c r="D26" s="9"/>
      <c r="E26" s="9"/>
      <c r="F26" s="9" t="s">
        <v>61</v>
      </c>
      <c r="G26" s="9">
        <f>SUM(G21:G24)</f>
        <v>46</v>
      </c>
      <c r="H26" s="9"/>
      <c r="I26" s="9"/>
      <c r="J26" s="9"/>
      <c r="K26" s="9"/>
      <c r="L26" s="9"/>
      <c r="M26" s="9"/>
      <c r="N26" s="9"/>
      <c r="O26" s="9"/>
      <c r="P26" s="9"/>
      <c r="Q26" s="9"/>
      <c r="R26" s="9"/>
      <c r="S26" s="9"/>
      <c r="T26" s="9"/>
      <c r="U26" s="9"/>
      <c r="V26" s="9"/>
      <c r="W26" s="9"/>
      <c r="X26" s="9"/>
      <c r="Y26" s="9"/>
      <c r="Z26" s="9"/>
    </row>
    <row r="27" spans="1:26" ht="14.25" customHeight="1" x14ac:dyDescent="0.2">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4.25" customHeight="1" x14ac:dyDescent="0.2">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4.25" customHeight="1" x14ac:dyDescent="0.2">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2">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2">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
      <c r="A36" s="9"/>
      <c r="H36" s="9"/>
      <c r="I36" s="9"/>
      <c r="J36" s="9"/>
      <c r="K36" s="9"/>
      <c r="L36" s="9"/>
      <c r="M36" s="9"/>
      <c r="N36" s="9"/>
      <c r="O36" s="9"/>
      <c r="P36" s="9"/>
      <c r="Q36" s="9"/>
      <c r="R36" s="9"/>
      <c r="S36" s="9"/>
      <c r="T36" s="9"/>
      <c r="U36" s="9"/>
      <c r="V36" s="9"/>
      <c r="W36" s="9"/>
      <c r="X36" s="9"/>
      <c r="Y36" s="9"/>
      <c r="Z36" s="9"/>
    </row>
    <row r="37" spans="1:26" ht="14.25" customHeight="1" x14ac:dyDescent="0.2">
      <c r="A37" s="9"/>
      <c r="H37" s="9"/>
      <c r="I37" s="9"/>
      <c r="J37" s="9"/>
      <c r="K37" s="9"/>
      <c r="L37" s="9"/>
      <c r="M37" s="9"/>
      <c r="N37" s="9"/>
      <c r="O37" s="9"/>
      <c r="P37" s="9"/>
      <c r="Q37" s="9"/>
      <c r="R37" s="9"/>
      <c r="S37" s="9"/>
      <c r="T37" s="9"/>
      <c r="U37" s="9"/>
      <c r="V37" s="9"/>
      <c r="W37" s="9"/>
      <c r="X37" s="9"/>
      <c r="Y37" s="9"/>
      <c r="Z37" s="9"/>
    </row>
    <row r="38" spans="1:26" ht="14.25" customHeight="1" x14ac:dyDescent="0.2">
      <c r="A38" s="9"/>
      <c r="H38" s="9"/>
      <c r="I38" s="9"/>
      <c r="J38" s="9"/>
      <c r="K38" s="9"/>
      <c r="L38" s="9"/>
      <c r="M38" s="9"/>
      <c r="N38" s="9"/>
      <c r="O38" s="9"/>
      <c r="P38" s="9"/>
      <c r="Q38" s="9"/>
      <c r="R38" s="9"/>
      <c r="S38" s="9"/>
      <c r="T38" s="9"/>
      <c r="U38" s="9"/>
      <c r="V38" s="9"/>
      <c r="W38" s="9"/>
      <c r="X38" s="9"/>
      <c r="Y38" s="9"/>
      <c r="Z38" s="9"/>
    </row>
    <row r="39" spans="1:26" ht="14.25" customHeight="1" x14ac:dyDescent="0.2">
      <c r="A39" s="9"/>
      <c r="H39" s="9"/>
      <c r="I39" s="9"/>
      <c r="J39" s="9"/>
      <c r="K39" s="9"/>
      <c r="L39" s="9"/>
      <c r="M39" s="9"/>
      <c r="N39" s="9"/>
      <c r="O39" s="9"/>
      <c r="P39" s="9"/>
      <c r="Q39" s="9"/>
      <c r="R39" s="9"/>
      <c r="S39" s="9"/>
      <c r="T39" s="9"/>
      <c r="U39" s="9"/>
      <c r="V39" s="9"/>
      <c r="W39" s="9"/>
      <c r="X39" s="9"/>
      <c r="Y39" s="9"/>
      <c r="Z39" s="9"/>
    </row>
    <row r="40" spans="1:26" ht="14.25" customHeight="1" x14ac:dyDescent="0.2">
      <c r="A40" s="9"/>
      <c r="H40" s="9"/>
      <c r="I40" s="9"/>
      <c r="J40" s="9"/>
      <c r="K40" s="9"/>
      <c r="L40" s="9"/>
      <c r="M40" s="9"/>
      <c r="N40" s="9"/>
      <c r="O40" s="9"/>
      <c r="P40" s="9"/>
      <c r="Q40" s="9"/>
      <c r="R40" s="9"/>
      <c r="S40" s="9"/>
      <c r="T40" s="9"/>
      <c r="U40" s="9"/>
      <c r="V40" s="9"/>
      <c r="W40" s="9"/>
      <c r="X40" s="9"/>
      <c r="Y40" s="9"/>
      <c r="Z40" s="9"/>
    </row>
    <row r="41" spans="1:26" ht="14.25" customHeight="1" x14ac:dyDescent="0.2">
      <c r="A41" s="9"/>
      <c r="H41" s="9"/>
      <c r="I41" s="9"/>
      <c r="J41" s="9"/>
      <c r="K41" s="9"/>
      <c r="L41" s="9"/>
      <c r="M41" s="9"/>
      <c r="N41" s="9"/>
      <c r="O41" s="9"/>
      <c r="P41" s="9"/>
      <c r="Q41" s="9"/>
      <c r="R41" s="9"/>
      <c r="S41" s="9"/>
      <c r="T41" s="9"/>
      <c r="U41" s="9"/>
      <c r="V41" s="9"/>
      <c r="W41" s="9"/>
      <c r="X41" s="9"/>
      <c r="Y41" s="9"/>
      <c r="Z41" s="9"/>
    </row>
    <row r="42" spans="1:26" ht="14.25"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0">
    <mergeCell ref="B6:B10"/>
    <mergeCell ref="B13:C13"/>
    <mergeCell ref="B16:C17"/>
    <mergeCell ref="D16:D17"/>
    <mergeCell ref="M20:N21"/>
    <mergeCell ref="B21:D24"/>
    <mergeCell ref="E21:F21"/>
    <mergeCell ref="E24:F24"/>
    <mergeCell ref="E22:F22"/>
    <mergeCell ref="E23:F23"/>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C16" sqref="C16"/>
    </sheetView>
  </sheetViews>
  <sheetFormatPr baseColWidth="10" defaultColWidth="14.5" defaultRowHeight="15" customHeight="1" x14ac:dyDescent="0.2"/>
  <cols>
    <col min="1" max="1" width="12.33203125" customWidth="1"/>
    <col min="2" max="2" width="12.5" customWidth="1"/>
    <col min="3" max="3" width="6.33203125" customWidth="1"/>
    <col min="4" max="6" width="10.6640625" customWidth="1"/>
  </cols>
  <sheetData>
    <row r="1" spans="1:6" ht="14.25" customHeight="1" x14ac:dyDescent="0.2">
      <c r="A1" s="1" t="s">
        <v>0</v>
      </c>
      <c r="B1" s="1" t="s">
        <v>2</v>
      </c>
      <c r="C1" s="4" t="s">
        <v>4</v>
      </c>
      <c r="D1" s="4" t="s">
        <v>8</v>
      </c>
      <c r="E1" s="5">
        <v>1</v>
      </c>
      <c r="F1" s="4" t="s">
        <v>13</v>
      </c>
    </row>
    <row r="2" spans="1:6" ht="14.25" customHeight="1" x14ac:dyDescent="0.2">
      <c r="A2" s="1" t="s">
        <v>16</v>
      </c>
      <c r="B2" s="1" t="s">
        <v>17</v>
      </c>
      <c r="C2" s="4" t="s">
        <v>18</v>
      </c>
      <c r="D2" s="4" t="s">
        <v>20</v>
      </c>
      <c r="E2" s="5">
        <v>2</v>
      </c>
      <c r="F2" s="4" t="s">
        <v>21</v>
      </c>
    </row>
    <row r="3" spans="1:6" ht="14.25" customHeight="1" x14ac:dyDescent="0.2">
      <c r="A3" s="1" t="s">
        <v>83</v>
      </c>
      <c r="B3" s="1" t="s">
        <v>23</v>
      </c>
      <c r="C3" s="4" t="s">
        <v>25</v>
      </c>
      <c r="E3" s="5">
        <v>3</v>
      </c>
      <c r="F3" s="4" t="s">
        <v>26</v>
      </c>
    </row>
    <row r="4" spans="1:6" ht="14.25" customHeight="1" x14ac:dyDescent="0.2">
      <c r="A4" s="1" t="s">
        <v>28</v>
      </c>
      <c r="B4" s="1" t="s">
        <v>29</v>
      </c>
      <c r="E4" s="5">
        <v>4</v>
      </c>
    </row>
    <row r="5" spans="1:6" ht="14.25" customHeight="1" x14ac:dyDescent="0.2">
      <c r="A5" s="1" t="s">
        <v>31</v>
      </c>
      <c r="B5" s="1" t="s">
        <v>32</v>
      </c>
      <c r="E5" s="5">
        <v>5</v>
      </c>
    </row>
    <row r="6" spans="1:6" ht="14.25" customHeight="1" x14ac:dyDescent="0.2">
      <c r="A6" s="1" t="s">
        <v>33</v>
      </c>
    </row>
    <row r="7" spans="1:6" ht="14.25" customHeight="1" x14ac:dyDescent="0.2">
      <c r="A7" s="1" t="s">
        <v>34</v>
      </c>
    </row>
    <row r="8" spans="1:6" ht="14.25" customHeight="1" x14ac:dyDescent="0.2">
      <c r="A8" s="1" t="s">
        <v>35</v>
      </c>
    </row>
    <row r="9" spans="1:6" ht="14.25" customHeight="1" x14ac:dyDescent="0.2">
      <c r="A9" s="1" t="s">
        <v>83</v>
      </c>
    </row>
    <row r="10" spans="1:6" ht="14.25" customHeight="1" x14ac:dyDescent="0.2"/>
    <row r="11" spans="1:6" ht="14.25" customHeight="1" x14ac:dyDescent="0.2"/>
    <row r="12" spans="1:6" ht="14.25" customHeight="1" x14ac:dyDescent="0.2"/>
    <row r="13" spans="1:6" ht="14.25" customHeight="1" x14ac:dyDescent="0.2"/>
    <row r="14" spans="1:6" ht="14.25" customHeight="1" x14ac:dyDescent="0.2"/>
    <row r="15" spans="1:6" ht="14.25" customHeight="1" x14ac:dyDescent="0.2"/>
    <row r="16" spans="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Portada</vt:lpstr>
      <vt:lpstr>Identificación Casos</vt:lpstr>
      <vt:lpstr>Control</vt:lpstr>
      <vt:lpstr>Datos del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Guzman Bozo, Jorge</dc:creator>
  <cp:lastModifiedBy>CRISTINA ALEJANDRA GONZALEZ GONZALEZ</cp:lastModifiedBy>
  <dcterms:created xsi:type="dcterms:W3CDTF">2022-11-12T13:19:55Z</dcterms:created>
  <dcterms:modified xsi:type="dcterms:W3CDTF">2026-10-04T01:18:27Z</dcterms:modified>
</cp:coreProperties>
</file>